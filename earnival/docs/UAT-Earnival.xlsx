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Test cases" sheetId="2" state="visible" r:id="rId4"/>
    <sheet name="Bug log" sheetId="3" state="visible" r:id="rId5"/>
    <sheet name="Known issues" sheetId="4" state="visible" r:id="rId6"/>
    <sheet name="Sign-off" sheetId="5" state="visible" r:id="rId7"/>
  </sheets>
  <definedNames>
    <definedName function="false" hidden="true" localSheetId="2" name="_xlnm._FilterDatabase" vbProcedure="false">'Bug log'!$A$2:$M$59</definedName>
    <definedName function="false" hidden="true" localSheetId="1" name="_xlnm._FilterDatabase" vbProcedure="false">'Test cases'!$A$2:$L$67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<sst xmlns="http://schemas.openxmlformats.org/spreadsheetml/2006/main" count="712" uniqueCount="424">
  <si>
    <t xml:space="preserve">Earnival — User Acceptance Testing</t>
  </si>
  <si>
    <t xml:space="preserve">Fill this in during the UAT round that runs before your first real event.</t>
  </si>
  <si>
    <t xml:space="preserve">HOW TO RUN IT</t>
  </si>
  <si>
    <t xml:space="preserve">1. Assign testers</t>
  </si>
  <si>
    <t xml:space="preserve">You need at least 3: one organiser, one vendor, one attendee who has never seen the product.</t>
  </si>
  <si>
    <t xml:space="preserve">2. Use real phones</t>
  </si>
  <si>
    <t xml:space="preserve">Not a desktop browser resized. Buying and checking in are phone activities — test them on phones.</t>
  </si>
  <si>
    <t xml:space="preserve">3. Work through 'Test cases'</t>
  </si>
  <si>
    <t xml:space="preserve">Set Result to Pass, Fail or Blocked. A test you did not run stays 'Not tested'.</t>
  </si>
  <si>
    <t xml:space="preserve">4. Every Fail gets a bug</t>
  </si>
  <si>
    <t xml:space="preserve">Raise it on 'Bug log', then put its Bug ID back on the test case row.</t>
  </si>
  <si>
    <t xml:space="preserve">5. Check 'Known issues' first</t>
  </si>
  <si>
    <t xml:space="preserve">Things already found and triaged. Do not raise these again.</t>
  </si>
  <si>
    <t xml:space="preserve">6. Sign off</t>
  </si>
  <si>
    <t xml:space="preserve">The gate criteria on 'Sign-off' decide whether you launch.</t>
  </si>
  <si>
    <t xml:space="preserve">SEVERITY — what the words mean</t>
  </si>
  <si>
    <t xml:space="preserve">S1 Critical</t>
  </si>
  <si>
    <t xml:space="preserve">Money is wrong, data is exposed, or the core journey is impossible. Stops launch.</t>
  </si>
  <si>
    <t xml:space="preserve">S2 Major</t>
  </si>
  <si>
    <t xml:space="preserve">A journey is broken but has a workaround. Stops launch unless the workaround is acceptable on the night.</t>
  </si>
  <si>
    <t xml:space="preserve">S3 Minor</t>
  </si>
  <si>
    <t xml:space="preserve">Wrong, annoying, but nobody loses money or gets stuck. Fix after launch.</t>
  </si>
  <si>
    <t xml:space="preserve">S4 Cosmetic</t>
  </si>
  <si>
    <t xml:space="preserve">Visual or wording. Backlog.</t>
  </si>
  <si>
    <t xml:space="preserve">WHAT COUNTS AS S1</t>
  </si>
  <si>
    <t xml:space="preserve">A split that does not sum to the amount charged. A ticket that scans twice. A refund that moves in the app but not in the bank. Someone seeing another person's money. A payment marked paid without a Paystack webhook.</t>
  </si>
  <si>
    <t xml:space="preserve">PROGRESS</t>
  </si>
  <si>
    <t xml:space="preserve">Total test cases</t>
  </si>
  <si>
    <t xml:space="preserve">Passed</t>
  </si>
  <si>
    <t xml:space="preserve">Failed</t>
  </si>
  <si>
    <t xml:space="preserve">Blocked</t>
  </si>
  <si>
    <t xml:space="preserve">Not tested</t>
  </si>
  <si>
    <t xml:space="preserve">P0 cases still not passed</t>
  </si>
  <si>
    <t xml:space="preserve">Open S1 bugs</t>
  </si>
  <si>
    <t xml:space="preserve">Open S2 bugs</t>
  </si>
  <si>
    <t xml:space="preserve">These update themselves as the other two sheets are filled in.</t>
  </si>
  <si>
    <t xml:space="preserve">Test cases — set Result on every row. Yellow columns are yours to fill in.</t>
  </si>
  <si>
    <t xml:space="preserve">ID</t>
  </si>
  <si>
    <t xml:space="preserve">Journey</t>
  </si>
  <si>
    <t xml:space="preserve">Pri</t>
  </si>
  <si>
    <t xml:space="preserve">Device</t>
  </si>
  <si>
    <t xml:space="preserve">Steps</t>
  </si>
  <si>
    <t xml:space="preserve">Expected result</t>
  </si>
  <si>
    <t xml:space="preserve">Req</t>
  </si>
  <si>
    <t xml:space="preserve">Result</t>
  </si>
  <si>
    <t xml:space="preserve">Tester</t>
  </si>
  <si>
    <t xml:space="preserve">Date</t>
  </si>
  <si>
    <t xml:space="preserve">Bug ID</t>
  </si>
  <si>
    <t xml:space="preserve">Notes</t>
  </si>
  <si>
    <t xml:space="preserve">TC-001</t>
  </si>
  <si>
    <t xml:space="preserve">Buy a ticket</t>
  </si>
  <si>
    <t xml:space="preserve">P0</t>
  </si>
  <si>
    <t xml:space="preserve">Phone</t>
  </si>
  <si>
    <t xml:space="preserve">Open the event link. Pick 2 Regular tickets. Enter name, email, phone. Pay with a real card.</t>
  </si>
  <si>
    <t xml:space="preserve">Payment succeeds and you land on a confirmation with your ticket reference.</t>
  </si>
  <si>
    <t xml:space="preserve">DSC-01</t>
  </si>
  <si>
    <t xml:space="preserve">TC-002</t>
  </si>
  <si>
    <t xml:space="preserve">Complete a purchase, then check the email inbox.</t>
  </si>
  <si>
    <t xml:space="preserve">Ticket email arrives within 2 minutes, in the inbox and not in spam, with a scannable QR and a check-in code.</t>
  </si>
  <si>
    <t xml:space="preserve">DSC-07</t>
  </si>
  <si>
    <t xml:space="preserve">TC-003</t>
  </si>
  <si>
    <t xml:space="preserve">Buy without creating an account.</t>
  </si>
  <si>
    <t xml:space="preserve">No sign-up is ever demanded. The purchase completes with name, email and phone only.</t>
  </si>
  <si>
    <t xml:space="preserve">DSC-03</t>
  </si>
  <si>
    <t xml:space="preserve">TC-004</t>
  </si>
  <si>
    <t xml:space="preserve">Before paying, read the page for the refund policy.</t>
  </si>
  <si>
    <t xml:space="preserve">The refund policy is visible before the pay button, not only in the terms.</t>
  </si>
  <si>
    <t xml:space="preserve">DSC-08</t>
  </si>
  <si>
    <t xml:space="preserve">TC-005</t>
  </si>
  <si>
    <t xml:space="preserve">Try to buy more tickets than remain on a nearly sold-out type.</t>
  </si>
  <si>
    <t xml:space="preserve">The quantity stepper caps at what is left. You cannot exceed it.</t>
  </si>
  <si>
    <t xml:space="preserve">TC-006</t>
  </si>
  <si>
    <t xml:space="preserve">Start checkout, then abandon it. Wait 25 minutes. Reload the event page.</t>
  </si>
  <si>
    <t xml:space="preserve">The held tickets are back on sale.</t>
  </si>
  <si>
    <t xml:space="preserve">DSC-04</t>
  </si>
  <si>
    <t xml:space="preserve">TC-007</t>
  </si>
  <si>
    <t xml:space="preserve">P1</t>
  </si>
  <si>
    <t xml:space="preserve">Two people buy the last ticket at the same moment.</t>
  </si>
  <si>
    <t xml:space="preserve">Exactly one succeeds. The other gets a clear sold-out message, not an error page.</t>
  </si>
  <si>
    <t xml:space="preserve">DSC-05</t>
  </si>
  <si>
    <t xml:space="preserve">TC-008</t>
  </si>
  <si>
    <t xml:space="preserve">Pay with a card you know will be declined.</t>
  </si>
  <si>
    <t xml:space="preserve">You are told the payment failed and can retry. No ticket is issued.</t>
  </si>
  <si>
    <t xml:space="preserve">PAY-09</t>
  </si>
  <si>
    <t xml:space="preserve">TC-009</t>
  </si>
  <si>
    <t xml:space="preserve">Ticket</t>
  </si>
  <si>
    <t xml:space="preserve">Open the ticket link from the email.</t>
  </si>
  <si>
    <t xml:space="preserve">The badge shows the QR, check-in code, ticket type, your name, and the organiser's note.</t>
  </si>
  <si>
    <t xml:space="preserve">TC-010</t>
  </si>
  <si>
    <t xml:space="preserve">Screenshot the badge and close the email.</t>
  </si>
  <si>
    <t xml:space="preserve">The screenshot alone is enough to get in. Confirm at check-in.</t>
  </si>
  <si>
    <t xml:space="preserve">TC-011</t>
  </si>
  <si>
    <t xml:space="preserve">Go to 'Find my ticket'. Enter the email you bought with.</t>
  </si>
  <si>
    <t xml:space="preserve">A recovery link arrives by email and opens your tickets.</t>
  </si>
  <si>
    <t xml:space="preserve">DSC-09</t>
  </si>
  <si>
    <t xml:space="preserve">TC-012</t>
  </si>
  <si>
    <t xml:space="preserve">Go to 'Find my ticket'. Enter an email that bought nothing.</t>
  </si>
  <si>
    <t xml:space="preserve">The response is identical to the one above. It must not reveal whether the address exists.</t>
  </si>
  <si>
    <t xml:space="preserve">DSC-10</t>
  </si>
  <si>
    <t xml:space="preserve">TC-013</t>
  </si>
  <si>
    <t xml:space="preserve">Buy from a shop</t>
  </si>
  <si>
    <t xml:space="preserve">From the event page, open a connected shop and add items to the basket.</t>
  </si>
  <si>
    <t xml:space="preserve">Items add, quantities adjust, and the total updates with the processing fee shown separately.</t>
  </si>
  <si>
    <t xml:space="preserve">ORD-01</t>
  </si>
  <si>
    <t xml:space="preserve">TC-014</t>
  </si>
  <si>
    <t xml:space="preserve">Build a basket with items from two different shops. Pay once.</t>
  </si>
  <si>
    <t xml:space="preserve">One payment. You receive a separate order reference per shop.</t>
  </si>
  <si>
    <t xml:space="preserve">ORD-02</t>
  </si>
  <si>
    <t xml:space="preserve">TC-015</t>
  </si>
  <si>
    <t xml:space="preserve">Check the vendor's console after that purchase.</t>
  </si>
  <si>
    <t xml:space="preserve">Each vendor sees only their own items — never the other shop's.</t>
  </si>
  <si>
    <t xml:space="preserve">TC-016</t>
  </si>
  <si>
    <t xml:space="preserve">Place a pay-at-event order where the shop allows it.</t>
  </si>
  <si>
    <t xml:space="preserve">The order is created without payment and shows as due at the counter.</t>
  </si>
  <si>
    <t xml:space="preserve">ORD-04</t>
  </si>
  <si>
    <t xml:space="preserve">TC-017</t>
  </si>
  <si>
    <t xml:space="preserve">Open the order tracking link.</t>
  </si>
  <si>
    <t xml:space="preserve">Status is visible and updates as the vendor moves the order along.</t>
  </si>
  <si>
    <t xml:space="preserve">ORD-11</t>
  </si>
  <si>
    <t xml:space="preserve">TC-018</t>
  </si>
  <si>
    <t xml:space="preserve">Fulfilment</t>
  </si>
  <si>
    <t xml:space="preserve">As the vendor, mark a paid order Ready.</t>
  </si>
  <si>
    <t xml:space="preserve">The buyer receives a pickup code.</t>
  </si>
  <si>
    <t xml:space="preserve">ORD-07</t>
  </si>
  <si>
    <t xml:space="preserve">TC-019</t>
  </si>
  <si>
    <t xml:space="preserve">As the vendor, try to complete an order without the buyer's pickup code.</t>
  </si>
  <si>
    <t xml:space="preserve">It is refused. The code must be entered and matched.</t>
  </si>
  <si>
    <t xml:space="preserve">TC-020</t>
  </si>
  <si>
    <t xml:space="preserve">Complete one shop's order in a two-shop basket.</t>
  </si>
  <si>
    <t xml:space="preserve">Only that shop's order completes. The other is untouched.</t>
  </si>
  <si>
    <t xml:space="preserve">ORD-09</t>
  </si>
  <si>
    <t xml:space="preserve">TC-021</t>
  </si>
  <si>
    <t xml:space="preserve">Place an order and watch the vendor's phone.</t>
  </si>
  <si>
    <t xml:space="preserve">A sale alert arrives on WhatsApp, or by SMS if WhatsApp is unavailable.</t>
  </si>
  <si>
    <t xml:space="preserve">ORD-12</t>
  </si>
  <si>
    <t xml:space="preserve">TC-022</t>
  </si>
  <si>
    <t xml:space="preserve">Check-in</t>
  </si>
  <si>
    <t xml:space="preserve">As door staff, scan a valid ticket QR with the phone camera.</t>
  </si>
  <si>
    <t xml:space="preserve">Green pass, the guest's name, and the counter increments.</t>
  </si>
  <si>
    <t xml:space="preserve">OPS-01</t>
  </si>
  <si>
    <t xml:space="preserve">TC-023</t>
  </si>
  <si>
    <t xml:space="preserve">Scan the same ticket a second time.</t>
  </si>
  <si>
    <t xml:space="preserve">Refused, and it says when the guest was already checked in.</t>
  </si>
  <si>
    <t xml:space="preserve">OPS-04</t>
  </si>
  <si>
    <t xml:space="preserve">TC-024</t>
  </si>
  <si>
    <t xml:space="preserve">Type the check-in code by hand instead of scanning.</t>
  </si>
  <si>
    <t xml:space="preserve">Same result as a scan. This is the dead-battery path.</t>
  </si>
  <si>
    <t xml:space="preserve">OPS-03</t>
  </si>
  <si>
    <t xml:space="preserve">TC-025</t>
  </si>
  <si>
    <t xml:space="preserve">Search the guest list by name and check someone in from there.</t>
  </si>
  <si>
    <t xml:space="preserve">The guest is found and checked in.</t>
  </si>
  <si>
    <t xml:space="preserve">TC-026</t>
  </si>
  <si>
    <t xml:space="preserve">Put the phone in aeroplane mode. Scan three tickets. Turn connectivity back on.</t>
  </si>
  <si>
    <t xml:space="preserve">All three queue offline, then sync. The counter is correct and nobody is double-registered.</t>
  </si>
  <si>
    <t xml:space="preserve">OPS-05</t>
  </si>
  <si>
    <t xml:space="preserve">TC-027</t>
  </si>
  <si>
    <t xml:space="preserve">Scan a refunded or cancelled ticket.</t>
  </si>
  <si>
    <t xml:space="preserve">Refused, with the reason stated.</t>
  </si>
  <si>
    <t xml:space="preserve">OPS-08</t>
  </si>
  <si>
    <t xml:space="preserve">TC-028</t>
  </si>
  <si>
    <t xml:space="preserve">Sign in as door staff and try to reach the revenue figures.</t>
  </si>
  <si>
    <t xml:space="preserve">You are sent to the scanner. Revenue is never shown to door staff.</t>
  </si>
  <si>
    <t xml:space="preserve">TEAM-03</t>
  </si>
  <si>
    <t xml:space="preserve">TC-029</t>
  </si>
  <si>
    <t xml:space="preserve">Sign in as someone who is not on the door team and open the scan URL directly.</t>
  </si>
  <si>
    <t xml:space="preserve">Access is refused.</t>
  </si>
  <si>
    <t xml:space="preserve">OPS-07</t>
  </si>
  <si>
    <t xml:space="preserve">TC-030</t>
  </si>
  <si>
    <t xml:space="preserve">Stand at arm's length in daylight and scan.</t>
  </si>
  <si>
    <t xml:space="preserve">The pass or fail is readable at arm's length, with sound and vibration.</t>
  </si>
  <si>
    <t xml:space="preserve">OPS-06</t>
  </si>
  <si>
    <t xml:space="preserve">TC-031</t>
  </si>
  <si>
    <t xml:space="preserve">Organiser</t>
  </si>
  <si>
    <t xml:space="preserve">Both</t>
  </si>
  <si>
    <t xml:space="preserve">Create an event with a banner, two ticket types and a venue. Publish it.</t>
  </si>
  <si>
    <t xml:space="preserve">A public event page exists at a stable URL, with a QR and share links.</t>
  </si>
  <si>
    <t xml:space="preserve">EVT-01</t>
  </si>
  <si>
    <t xml:space="preserve">TC-032</t>
  </si>
  <si>
    <t xml:space="preserve">Paste the event link into a WhatsApp chat.</t>
  </si>
  <si>
    <t xml:space="preserve">It unfurls with a real preview image, title and date — not a bare URL.</t>
  </si>
  <si>
    <t xml:space="preserve">EVT-03</t>
  </si>
  <si>
    <t xml:space="preserve">TC-033</t>
  </si>
  <si>
    <t xml:space="preserve">Change the venue on a published event with tickets already sold.</t>
  </si>
  <si>
    <t xml:space="preserve">The change saves, existing tickets stay valid, and you are prompted to email ticket holders.</t>
  </si>
  <si>
    <t xml:space="preserve">EVT-04</t>
  </si>
  <si>
    <t xml:space="preserve">TC-034</t>
  </si>
  <si>
    <t xml:space="preserve">Try to reduce a ticket type's capacity below the number already sold.</t>
  </si>
  <si>
    <t xml:space="preserve">Refused.</t>
  </si>
  <si>
    <t xml:space="preserve">EVT-06</t>
  </si>
  <si>
    <t xml:space="preserve">TC-035</t>
  </si>
  <si>
    <t xml:space="preserve">Reprice a ticket type after some have sold.</t>
  </si>
  <si>
    <t xml:space="preserve">Only future sales use the new price. Money already taken is unchanged.</t>
  </si>
  <si>
    <t xml:space="preserve">TC-036</t>
  </si>
  <si>
    <t xml:space="preserve">Open the console after some traffic.</t>
  </si>
  <si>
    <t xml:space="preserve">Ticket revenue, share of shop sales, tickets sold, check-in progress and the funnel all show real numbers.</t>
  </si>
  <si>
    <t xml:space="preserve">EVT-09</t>
  </si>
  <si>
    <t xml:space="preserve">TC-037</t>
  </si>
  <si>
    <t xml:space="preserve">Invite a second person as door staff by email.</t>
  </si>
  <si>
    <t xml:space="preserve">They receive an invitation and can check guests in once they accept — not before.</t>
  </si>
  <si>
    <t xml:space="preserve">TEAM-01</t>
  </si>
  <si>
    <t xml:space="preserve">TC-038</t>
  </si>
  <si>
    <t xml:space="preserve">Revoke that person's access mid-event.</t>
  </si>
  <si>
    <t xml:space="preserve">They immediately lose the ability to check anyone in.</t>
  </si>
  <si>
    <t xml:space="preserve">TEAM-02</t>
  </si>
  <si>
    <t xml:space="preserve">TC-039</t>
  </si>
  <si>
    <t xml:space="preserve">Cancel an event that has sold tickets and paid orders.</t>
  </si>
  <si>
    <t xml:space="preserve">Every outstanding ticket and paid order is refunded. Buyers are told.</t>
  </si>
  <si>
    <t xml:space="preserve">EVT-11</t>
  </si>
  <si>
    <t xml:space="preserve">TC-040</t>
  </si>
  <si>
    <t xml:space="preserve">Vendor</t>
  </si>
  <si>
    <t xml:space="preserve">Create a shop, add a product with a photo and a price, and publish.</t>
  </si>
  <si>
    <t xml:space="preserve">The shop goes live with its own URL and QR.</t>
  </si>
  <si>
    <t xml:space="preserve">SHP-01</t>
  </si>
  <si>
    <t xml:space="preserve">TC-041</t>
  </si>
  <si>
    <t xml:space="preserve">Request a connection to a live event, offering a revenue share.</t>
  </si>
  <si>
    <t xml:space="preserve">Before sending, you see exactly what each party receives on a sample sale.</t>
  </si>
  <si>
    <t xml:space="preserve">CON-01</t>
  </si>
  <si>
    <t xml:space="preserve">TC-042</t>
  </si>
  <si>
    <t xml:space="preserve">As the organiser, review and accept that request.</t>
  </si>
  <si>
    <t xml:space="preserve">The worked example is shown again. Accepting makes the shop purchasable through the event.</t>
  </si>
  <si>
    <t xml:space="preserve">CON-02</t>
  </si>
  <si>
    <t xml:space="preserve">TC-043</t>
  </si>
  <si>
    <t xml:space="preserve">Try to buy from a shop that has no active connection to the event.</t>
  </si>
  <si>
    <t xml:space="preserve">Not purchasable through that event.</t>
  </si>
  <si>
    <t xml:space="preserve">CON-03</t>
  </si>
  <si>
    <t xml:space="preserve">TC-044</t>
  </si>
  <si>
    <t xml:space="preserve">Drop a product's stock below its low-stock threshold.</t>
  </si>
  <si>
    <t xml:space="preserve">The vendor gets an alert.</t>
  </si>
  <si>
    <t xml:space="preserve">SHP-07</t>
  </si>
  <si>
    <t xml:space="preserve">TC-045</t>
  </si>
  <si>
    <t xml:space="preserve">Money</t>
  </si>
  <si>
    <t xml:space="preserve">Buy a NGN 10,000 item from a shop on a 5% connection. Write down every figure.</t>
  </si>
  <si>
    <t xml:space="preserve">Buyer charged 10,150. Platform 750, organiser 500, vendor 8,750. The parts sum to the gross exactly.</t>
  </si>
  <si>
    <t xml:space="preserve">PAY-06</t>
  </si>
  <si>
    <t xml:space="preserve">TC-046</t>
  </si>
  <si>
    <t xml:space="preserve">Compare the vendor's settlement breakdown against the orders that produced it.</t>
  </si>
  <si>
    <t xml:space="preserve">Gross, service charge, organiser share and net all reconcile. No rounding is lost.</t>
  </si>
  <si>
    <t xml:space="preserve">PAY-05</t>
  </si>
  <si>
    <t xml:space="preserve">TC-047</t>
  </si>
  <si>
    <t xml:space="preserve">Issue a full refund on a paid ticket.</t>
  </si>
  <si>
    <t xml:space="preserve">The buyer is made whole. Stock returns to the pool. The money leaves the Paystack balance.</t>
  </si>
  <si>
    <t xml:space="preserve">PAY-13</t>
  </si>
  <si>
    <t xml:space="preserve">TC-048</t>
  </si>
  <si>
    <t xml:space="preserve">Issue a partial refund, then try to refund more than remains.</t>
  </si>
  <si>
    <t xml:space="preserve">The second attempt is refused.</t>
  </si>
  <si>
    <t xml:space="preserve">PAY-14</t>
  </si>
  <si>
    <t xml:space="preserve">TC-049</t>
  </si>
  <si>
    <t xml:space="preserve">Try to refund a ticket that has already been scanned in.</t>
  </si>
  <si>
    <t xml:space="preserve">Refused — the goods were delivered.</t>
  </si>
  <si>
    <t xml:space="preserve">PAY-16</t>
  </si>
  <si>
    <t xml:space="preserve">TC-050</t>
  </si>
  <si>
    <t xml:space="preserve">Run settlement, then check the destination bank account.</t>
  </si>
  <si>
    <t xml:space="preserve">The payout lands, matches the app's figure to the kobo, and the payable balance drops accordingly.</t>
  </si>
  <si>
    <t xml:space="preserve">PAY-20</t>
  </si>
  <si>
    <t xml:space="preserve">TC-051</t>
  </si>
  <si>
    <t xml:space="preserve">Add a bank account whose name does not match the account holder.</t>
  </si>
  <si>
    <t xml:space="preserve">Refused before it can ever receive money.</t>
  </si>
  <si>
    <t xml:space="preserve">PAY-25</t>
  </si>
  <si>
    <t xml:space="preserve">TC-052</t>
  </si>
  <si>
    <t xml:space="preserve">Verification</t>
  </si>
  <si>
    <t xml:space="preserve">As a new L0 user, create a paid event.</t>
  </si>
  <si>
    <t xml:space="preserve">It does not go on sale until an admin approves it.</t>
  </si>
  <si>
    <t xml:space="preserve">VRF-01</t>
  </si>
  <si>
    <t xml:space="preserve">TC-053</t>
  </si>
  <si>
    <t xml:space="preserve">Verify a phone number to reach L1, then open a shop.</t>
  </si>
  <si>
    <t xml:space="preserve">L1 is granted and shop creation unlocks.</t>
  </si>
  <si>
    <t xml:space="preserve">VRF-02</t>
  </si>
  <si>
    <t xml:space="preserve">TC-054</t>
  </si>
  <si>
    <t xml:space="preserve">Submit a BVN, then look at it again anywhere in the product.</t>
  </si>
  <si>
    <t xml:space="preserve">Only the last four digits are ever shown — to you and to reviewers.</t>
  </si>
  <si>
    <t xml:space="preserve">VRF-07</t>
  </si>
  <si>
    <t xml:space="preserve">TC-055</t>
  </si>
  <si>
    <t xml:space="preserve">Sell past your level's revenue cap on one event.</t>
  </si>
  <si>
    <t xml:space="preserve">Checkout is blocked with a message naming the headroom left.</t>
  </si>
  <si>
    <t xml:space="preserve">VRF-05</t>
  </si>
  <si>
    <t xml:space="preserve">TC-056</t>
  </si>
  <si>
    <t xml:space="preserve">Try to submit identity documents without a verified phone.</t>
  </si>
  <si>
    <t xml:space="preserve">Refused. The levels are sequential.</t>
  </si>
  <si>
    <t xml:space="preserve">VRF-08</t>
  </si>
  <si>
    <t xml:space="preserve">TC-057</t>
  </si>
  <si>
    <t xml:space="preserve">Admin</t>
  </si>
  <si>
    <t xml:space="preserve">Desktop</t>
  </si>
  <si>
    <t xml:space="preserve">Sign in as a non-admin and open the admin URL directly.</t>
  </si>
  <si>
    <t xml:space="preserve">Access refused.</t>
  </si>
  <si>
    <t xml:space="preserve">ADM-04</t>
  </si>
  <si>
    <t xml:space="preserve">TC-058</t>
  </si>
  <si>
    <t xml:space="preserve">Approve a pending paid event.</t>
  </si>
  <si>
    <t xml:space="preserve">It goes on sale and appears in discovery.</t>
  </si>
  <si>
    <t xml:space="preserve">ADM-01</t>
  </si>
  <si>
    <t xml:space="preserve">TC-059</t>
  </si>
  <si>
    <t xml:space="preserve">Open the health endpoint.</t>
  </si>
  <si>
    <t xml:space="preserve">It reports the database as reachable and lists which integrations are configured.</t>
  </si>
  <si>
    <t xml:space="preserve">ADM-05</t>
  </si>
  <si>
    <t xml:space="preserve">TC-060</t>
  </si>
  <si>
    <t xml:space="preserve">Cross-cutting</t>
  </si>
  <si>
    <t xml:space="preserve">Open every public page on a 320px-wide phone.</t>
  </si>
  <si>
    <t xml:space="preserve">Nothing scrolls sideways. All text is readable without zooming.</t>
  </si>
  <si>
    <t xml:space="preserve">LEG-21</t>
  </si>
  <si>
    <t xml:space="preserve">TC-061</t>
  </si>
  <si>
    <t xml:space="preserve">Pinch to zoom on the event page.</t>
  </si>
  <si>
    <t xml:space="preserve">Zoom works. It is not blocked.</t>
  </si>
  <si>
    <t xml:space="preserve">TC-062</t>
  </si>
  <si>
    <t xml:space="preserve">Turn the phone to landscape on the scanner and the event page.</t>
  </si>
  <si>
    <t xml:space="preserve">Layout adapts. Nothing is cut off.</t>
  </si>
  <si>
    <t xml:space="preserve">TC-063</t>
  </si>
  <si>
    <t xml:space="preserve">Send a ticket email to a Gmail, a Yahoo and an Outlook address.</t>
  </si>
  <si>
    <t xml:space="preserve">All three arrive in the inbox, not spam. This is the one that quietly kills launches.</t>
  </si>
  <si>
    <t xml:space="preserve">NTF-01</t>
  </si>
  <si>
    <t xml:space="preserve">TC-064</t>
  </si>
  <si>
    <t xml:space="preserve">Load the event page on a 3G connection.</t>
  </si>
  <si>
    <t xml:space="preserve">It is usable within a few seconds. Images do not block the ticket buttons.</t>
  </si>
  <si>
    <t xml:space="preserve">—</t>
  </si>
  <si>
    <t xml:space="preserve">TC-065</t>
  </si>
  <si>
    <t xml:space="preserve">Navigate the checkout using only the keyboard.</t>
  </si>
  <si>
    <t xml:space="preserve">Every control is reachable and the focused element is always visible.</t>
  </si>
  <si>
    <t xml:space="preserve">Bug log — one row per defect. Row 3 is a worked example; overwrite or delete it.</t>
  </si>
  <si>
    <t xml:space="preserve">Date found</t>
  </si>
  <si>
    <t xml:space="preserve">Reporter</t>
  </si>
  <si>
    <t xml:space="preserve">Severity</t>
  </si>
  <si>
    <t xml:space="preserve">Device / browser</t>
  </si>
  <si>
    <t xml:space="preserve">Where (URL or screen)</t>
  </si>
  <si>
    <t xml:space="preserve">Steps to reproduce</t>
  </si>
  <si>
    <t xml:space="preserve">What you expected</t>
  </si>
  <si>
    <t xml:space="preserve">What actually happened</t>
  </si>
  <si>
    <t xml:space="preserve">Screenshot / video link</t>
  </si>
  <si>
    <t xml:space="preserve">Status</t>
  </si>
  <si>
    <t xml:space="preserve">Owner</t>
  </si>
  <si>
    <t xml:space="preserve">Fixed in / notes</t>
  </si>
  <si>
    <t xml:space="preserve">BUG-001</t>
  </si>
  <si>
    <t xml:space="preserve">2026-08-20</t>
  </si>
  <si>
    <t xml:space="preserve">Amara (vendor)</t>
  </si>
  <si>
    <t xml:space="preserve">iPhone 13, Safari 17</t>
  </si>
  <si>
    <t xml:space="preserve">/s/amaras-grill — basket</t>
  </si>
  <si>
    <t xml:space="preserve">1. Open the shop from the event page
2. Add 3 Suya Platters
3. Tap Pay now
4. Complete payment with test card</t>
  </si>
  <si>
    <t xml:space="preserve">Order confirmation with a reference</t>
  </si>
  <si>
    <t xml:space="preserve">Spinner never stops. Payment was taken — it shows in Paystack — but no order appeared for 4 minutes.</t>
  </si>
  <si>
    <t xml:space="preserve">(paste link)</t>
  </si>
  <si>
    <t xml:space="preserve">Open</t>
  </si>
  <si>
    <t xml:space="preserve">Eng</t>
  </si>
  <si>
    <t xml:space="preserve">Known issues — already found and triaged. Do not raise these again.</t>
  </si>
  <si>
    <t xml:space="preserve">Measured on 2026-08-11 by an automated sweep of 16 routes at 7 widths from 320px to 1440px, plus the build-status review in the PRD.</t>
  </si>
  <si>
    <t xml:space="preserve">Area</t>
  </si>
  <si>
    <t xml:space="preserve">What it is</t>
  </si>
  <si>
    <t xml:space="preserve">Evidence</t>
  </si>
  <si>
    <t xml:space="preserve">Blocks launch?</t>
  </si>
  <si>
    <t xml:space="preserve">KI-01</t>
  </si>
  <si>
    <t xml:space="preserve">Payments</t>
  </si>
  <si>
    <t xml:space="preserve">Never tested against live Paystack. Every payment, refund and transfer so far has run against sandbox stubs.</t>
  </si>
  <si>
    <t xml:space="preserve">PRD PAY-28, marked P0 and not built.</t>
  </si>
  <si>
    <t xml:space="preserve">YES</t>
  </si>
  <si>
    <t xml:space="preserve">KI-02</t>
  </si>
  <si>
    <t xml:space="preserve">Compliance</t>
  </si>
  <si>
    <t xml:space="preserve">The data protection impact assessment for BVN/NIN collection has not been done.</t>
  </si>
  <si>
    <t xml:space="preserve">PRD LEG-09, marked launch-blocking.</t>
  </si>
  <si>
    <t xml:space="preserve">YES — blocks L2 only</t>
  </si>
  <si>
    <t xml:space="preserve">KI-03</t>
  </si>
  <si>
    <t xml:space="preserve">Payouts</t>
  </si>
  <si>
    <t xml:space="preserve">Paystack Transfers require an OTP by default. If that setting is on, a payout appears to succeed and then hangs forever.</t>
  </si>
  <si>
    <t xml:space="preserve">Known Paystack behaviour; not yet verified on the live dashboard.</t>
  </si>
  <si>
    <t xml:space="preserve">KI-04</t>
  </si>
  <si>
    <t xml:space="preserve">Email</t>
  </si>
  <si>
    <t xml:space="preserve">The sending domain has no SPF/DKIM records yet, so ticket emails will land in spam.</t>
  </si>
  <si>
    <t xml:space="preserve">Deliverability is untested from a verified domain.</t>
  </si>
  <si>
    <t xml:space="preserve">KI-05</t>
  </si>
  <si>
    <t xml:space="preserve">Accessibility</t>
  </si>
  <si>
    <t xml:space="preserve">Some controls are shorter than the 36px tap target the product's own spec claims: 'Go back' is 32x32, 'Edit' 24x20, the BVN/NIN and Door staff/Cohost toggles are 32-34px tall, header links 30px.</t>
  </si>
  <si>
    <t xml:space="preserve">Automated sweep, 16 routes x 7 widths.</t>
  </si>
  <si>
    <t xml:space="preserve">No</t>
  </si>
  <si>
    <t xml:space="preserve">KI-06</t>
  </si>
  <si>
    <t xml:space="preserve">Badge and label text renders at 11px in several places against the product's own stated 12px floor — 'Live', 'Open', 'Bought', 'Food &amp; Drinks' and similar.</t>
  </si>
  <si>
    <t xml:space="preserve">Same sweep.</t>
  </si>
  <si>
    <t xml:space="preserve">KI-07</t>
  </si>
  <si>
    <t xml:space="preserve">There is no audit log of admin actions. Approvals, KYC decisions and refunds leave no trail beyond the row they change.</t>
  </si>
  <si>
    <t xml:space="preserve">PRD ADM-08.</t>
  </si>
  <si>
    <t xml:space="preserve">No — but required before a second admin</t>
  </si>
  <si>
    <t xml:space="preserve">KI-08</t>
  </si>
  <si>
    <t xml:space="preserve">Admin rights can only be granted by direct SQL. There is no bootstrap screen.</t>
  </si>
  <si>
    <t xml:space="preserve">PRD ADM-10.</t>
  </si>
  <si>
    <t xml:space="preserve">KI-09</t>
  </si>
  <si>
    <t xml:space="preserve">Refunds have no time limit. A buyer can request one indefinitely.</t>
  </si>
  <si>
    <t xml:space="preserve">PRD open decision #33.</t>
  </si>
  <si>
    <t xml:space="preserve">No — decide the policy</t>
  </si>
  <si>
    <t xml:space="preserve">KI-10</t>
  </si>
  <si>
    <t xml:space="preserve">Nothing reconciles Earnival's own bank balance against the ledger. The ledger is internally consistent but unchecked against reality.</t>
  </si>
  <si>
    <t xml:space="preserve">PRD review finding #5.</t>
  </si>
  <si>
    <t xml:space="preserve">No — but do it early</t>
  </si>
  <si>
    <t xml:space="preserve">KI-11</t>
  </si>
  <si>
    <t xml:space="preserve">Chargebacks are not modelled at all, and Paystack will pass them through.</t>
  </si>
  <si>
    <t xml:space="preserve">PRD open decision #34.</t>
  </si>
  <si>
    <t xml:space="preserve">KI-12</t>
  </si>
  <si>
    <t xml:space="preserve">Pricing</t>
  </si>
  <si>
    <t xml:space="preserve">Plan tiers (Standard 5%, Premium 2%) are specified but not built. Only the 7.5% rate is live.</t>
  </si>
  <si>
    <t xml:space="preserve">PRD PAY-08.</t>
  </si>
  <si>
    <t xml:space="preserve">KI-13</t>
  </si>
  <si>
    <t xml:space="preserve">Infrastructure</t>
  </si>
  <si>
    <t xml:space="preserve">Rate limits key on a spoofable header. A determined attacker could deny inventory.</t>
  </si>
  <si>
    <t xml:space="preserve">PRD risk register.</t>
  </si>
  <si>
    <t xml:space="preserve">No — put Cloudflare in front</t>
  </si>
  <si>
    <t xml:space="preserve">KI-14</t>
  </si>
  <si>
    <t xml:space="preserve">The 15-minute cron sweep is a single point of failure. If it stops, reservations are never released and nobody is paid.</t>
  </si>
  <si>
    <t xml:space="preserve">YES — needs uptime monitoring</t>
  </si>
  <si>
    <t xml:space="preserve">Launch gate</t>
  </si>
  <si>
    <t xml:space="preserve">Every line must read YES before the link goes to anyone outside the pilot cohort.</t>
  </si>
  <si>
    <t xml:space="preserve">#</t>
  </si>
  <si>
    <t xml:space="preserve">Gate criterion</t>
  </si>
  <si>
    <t xml:space="preserve">Met?</t>
  </si>
  <si>
    <t xml:space="preserve">Evidence / who confirmed</t>
  </si>
  <si>
    <t xml:space="preserve">Every P0 test case is marked Pass.</t>
  </si>
  <si>
    <t xml:space="preserve">There are no open S1 bugs.</t>
  </si>
  <si>
    <t xml:space="preserve">There are no open S2 bugs, or each one has a workaround the organiser has accepted in writing.</t>
  </si>
  <si>
    <t xml:space="preserve">One real event has run end to end on live Paystack keys — a real card charged, a real ticket scanned, a real payout landed in a real bank account.</t>
  </si>
  <si>
    <t xml:space="preserve">Paystack Transfers OTP has been checked on the live dashboard and payouts are confirmed to complete.</t>
  </si>
  <si>
    <t xml:space="preserve">The sending domain is verified with SPF and DKIM, and a test ticket reached Gmail, Yahoo and Outlook inboxes.</t>
  </si>
  <si>
    <t xml:space="preserve">The Paystack webhook URL is registered against the live domain and a delivery has been observed succeeding.</t>
  </si>
  <si>
    <t xml:space="preserve">The cron sweep is scheduled and has been observed running, with uptime monitoring alerting if it stops.</t>
  </si>
  <si>
    <t xml:space="preserve">Terms, privacy policy and refund policy are published at the live domain and reachable from checkout.</t>
  </si>
  <si>
    <t xml:space="preserve">The DPIA is complete — or Level 2 verification is switched off until it is.</t>
  </si>
  <si>
    <t xml:space="preserve">A named human is on call for the event, with the admin console reachable from a phone.</t>
  </si>
  <si>
    <t xml:space="preserve">A rollback plan exists: what you tell buyers, and how you refund everyone, if the event has to be abandoned mid-way.</t>
  </si>
  <si>
    <t xml:space="preserve">Gates met</t>
  </si>
  <si>
    <t xml:space="preserve">Gates outstanding</t>
  </si>
  <si>
    <t xml:space="preserve">Signed off by</t>
  </si>
  <si>
    <t xml:space="preserve">Name</t>
  </si>
  <si>
    <t xml:space="preserve">Role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</si>
</sst>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C1030"/>
      <name val="Arial"/>
      <family val="0"/>
      <charset val="1"/>
    </font>
    <font>
      <sz val="10"/>
      <color rgb="FF55496B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Courier New"/>
      <family val="0"/>
      <charset val="1"/>
    </font>
    <font>
      <sz val="9"/>
      <color rgb="FF857A96"/>
      <name val="Courier New"/>
      <family val="0"/>
      <charset val="1"/>
    </font>
    <font>
      <i val="true"/>
      <sz val="10"/>
      <color rgb="FF857A96"/>
      <name val="Arial"/>
      <family val="0"/>
      <charset val="1"/>
    </font>
    <font>
      <b val="true"/>
      <sz val="10"/>
      <color rgb="FF9E1B32"/>
      <name val="Arial"/>
      <family val="0"/>
      <charset val="1"/>
    </font>
    <font>
      <b val="true"/>
      <sz val="10"/>
      <color rgb="FFA65B0B"/>
      <name val="Arial"/>
      <family val="0"/>
      <charset val="1"/>
    </font>
    <font>
      <b val="true"/>
      <sz val="10"/>
      <color rgb="FF55496B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C1030"/>
        <bgColor rgb="FF000000"/>
      </patternFill>
    </fill>
    <fill>
      <patternFill patternType="solid">
        <fgColor rgb="FFFFF3CD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8CEC0"/>
      </left>
      <right style="thin">
        <color rgb="FFD8CEC0"/>
      </right>
      <top style="thin">
        <color rgb="FFD8CEC0"/>
      </top>
      <bottom style="thin">
        <color rgb="FFD8CEC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3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C103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857A96"/>
          <bgColor rgb="FF000000"/>
        </patternFill>
      </fill>
    </dxf>
    <dxf>
      <fill>
        <patternFill patternType="solid">
          <fgColor rgb="FFFFF3CD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A65B0B"/>
      <rgbColor rgb="FF800080"/>
      <rgbColor rgb="FF008080"/>
      <rgbColor rgb="FFD8CEC0"/>
      <rgbColor rgb="FF857A96"/>
      <rgbColor rgb="FF9999FF"/>
      <rgbColor rgb="FF993366"/>
      <rgbColor rgb="FFFFF3CD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496B"/>
      <rgbColor rgb="FF969696"/>
      <rgbColor rgb="FF003366"/>
      <rgbColor rgb="FF339966"/>
      <rgbColor rgb="FF003300"/>
      <rgbColor rgb="FF333300"/>
      <rgbColor rgb="FF9E1B32"/>
      <rgbColor rgb="FF993366"/>
      <rgbColor rgb="FF333399"/>
      <rgbColor rgb="FF1C103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05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/>
      <c r="B4" s="4"/>
    </row>
    <row r="5" customFormat="false" ht="15" hidden="false" customHeight="false" outlineLevel="0" collapsed="false">
      <c r="A5" s="5" t="s">
        <v>2</v>
      </c>
      <c r="B5" s="4"/>
    </row>
    <row r="6" customFormat="false" ht="15" hidden="false" customHeight="false" outlineLevel="0" collapsed="false">
      <c r="A6" s="3" t="s">
        <v>3</v>
      </c>
      <c r="B6" s="4" t="s">
        <v>4</v>
      </c>
    </row>
    <row r="7" customFormat="false" ht="15" hidden="false" customHeight="false" outlineLevel="0" collapsed="false">
      <c r="A7" s="3" t="s">
        <v>5</v>
      </c>
      <c r="B7" s="4" t="s">
        <v>6</v>
      </c>
    </row>
    <row r="8" customFormat="false" ht="15" hidden="false" customHeight="false" outlineLevel="0" collapsed="false">
      <c r="A8" s="3" t="s">
        <v>7</v>
      </c>
      <c r="B8" s="4" t="s">
        <v>8</v>
      </c>
    </row>
    <row r="9" customFormat="false" ht="15" hidden="false" customHeight="false" outlineLevel="0" collapsed="false">
      <c r="A9" s="3" t="s">
        <v>9</v>
      </c>
      <c r="B9" s="4" t="s">
        <v>10</v>
      </c>
    </row>
    <row r="10" customFormat="false" ht="15" hidden="false" customHeight="false" outlineLevel="0" collapsed="false">
      <c r="A10" s="3" t="s">
        <v>11</v>
      </c>
      <c r="B10" s="4" t="s">
        <v>12</v>
      </c>
    </row>
    <row r="11" customFormat="false" ht="15" hidden="false" customHeight="false" outlineLevel="0" collapsed="false">
      <c r="A11" s="3" t="s">
        <v>13</v>
      </c>
      <c r="B11" s="4" t="s">
        <v>14</v>
      </c>
    </row>
    <row r="12" customFormat="false" ht="15" hidden="false" customHeight="false" outlineLevel="0" collapsed="false">
      <c r="A12" s="3"/>
      <c r="B12" s="4"/>
    </row>
    <row r="13" customFormat="false" ht="15" hidden="false" customHeight="false" outlineLevel="0" collapsed="false">
      <c r="A13" s="3" t="s">
        <v>15</v>
      </c>
      <c r="B13" s="4"/>
    </row>
    <row r="14" customFormat="false" ht="15" hidden="false" customHeight="false" outlineLevel="0" collapsed="false">
      <c r="A14" s="3" t="s">
        <v>16</v>
      </c>
      <c r="B14" s="4" t="s">
        <v>17</v>
      </c>
    </row>
    <row r="15" customFormat="false" ht="15" hidden="false" customHeight="false" outlineLevel="0" collapsed="false">
      <c r="A15" s="3" t="s">
        <v>18</v>
      </c>
      <c r="B15" s="4" t="s">
        <v>19</v>
      </c>
    </row>
    <row r="16" customFormat="false" ht="15" hidden="false" customHeight="false" outlineLevel="0" collapsed="false">
      <c r="A16" s="3" t="s">
        <v>20</v>
      </c>
      <c r="B16" s="4" t="s">
        <v>21</v>
      </c>
    </row>
    <row r="17" customFormat="false" ht="15" hidden="false" customHeight="false" outlineLevel="0" collapsed="false">
      <c r="A17" s="3" t="s">
        <v>22</v>
      </c>
      <c r="B17" s="4" t="s">
        <v>23</v>
      </c>
    </row>
    <row r="18" customFormat="false" ht="15" hidden="false" customHeight="false" outlineLevel="0" collapsed="false">
      <c r="A18" s="3"/>
      <c r="B18" s="4"/>
    </row>
    <row r="19" customFormat="false" ht="15" hidden="false" customHeight="false" outlineLevel="0" collapsed="false">
      <c r="A19" s="5" t="s">
        <v>24</v>
      </c>
      <c r="B19" s="4"/>
    </row>
    <row r="20" customFormat="false" ht="23.85" hidden="false" customHeight="false" outlineLevel="0" collapsed="false">
      <c r="A20" s="3"/>
      <c r="B20" s="4" t="s">
        <v>25</v>
      </c>
    </row>
    <row r="23" customFormat="false" ht="15" hidden="false" customHeight="false" outlineLevel="0" collapsed="false">
      <c r="A23" s="5" t="s">
        <v>26</v>
      </c>
    </row>
    <row r="24" customFormat="false" ht="15" hidden="false" customHeight="false" outlineLevel="0" collapsed="false">
      <c r="A24" s="3" t="s">
        <v>27</v>
      </c>
      <c r="B24" s="6" t="n">
        <f aca="false">COUNTA('Test cases'!$A$3:$A$200)</f>
        <v>65</v>
      </c>
    </row>
    <row r="25" customFormat="false" ht="15" hidden="false" customHeight="false" outlineLevel="0" collapsed="false">
      <c r="A25" s="3" t="s">
        <v>28</v>
      </c>
      <c r="B25" s="6" t="n">
        <f aca="false">COUNTIF('Test cases'!$H$3:$H$200,"Pass")</f>
        <v>0</v>
      </c>
    </row>
    <row r="26" customFormat="false" ht="15" hidden="false" customHeight="false" outlineLevel="0" collapsed="false">
      <c r="A26" s="3" t="s">
        <v>29</v>
      </c>
      <c r="B26" s="6" t="n">
        <f aca="false">COUNTIF('Test cases'!$H$3:$H$200,"Fail")</f>
        <v>0</v>
      </c>
    </row>
    <row r="27" customFormat="false" ht="15" hidden="false" customHeight="false" outlineLevel="0" collapsed="false">
      <c r="A27" s="3" t="s">
        <v>30</v>
      </c>
      <c r="B27" s="6" t="n">
        <f aca="false">COUNTIF('Test cases'!$H$3:$H$200,"Blocked")</f>
        <v>0</v>
      </c>
    </row>
    <row r="28" customFormat="false" ht="15" hidden="false" customHeight="false" outlineLevel="0" collapsed="false">
      <c r="A28" s="3" t="s">
        <v>31</v>
      </c>
      <c r="B28" s="6" t="n">
        <f aca="false">COUNTIF('Test cases'!$H$3:$H$200,"Not tested")</f>
        <v>65</v>
      </c>
    </row>
    <row r="29" customFormat="false" ht="15" hidden="false" customHeight="false" outlineLevel="0" collapsed="false">
      <c r="A29" s="3" t="s">
        <v>32</v>
      </c>
      <c r="B29" s="6" t="n">
        <f aca="false">COUNTIFS('Test cases'!$C$3:$C$200,"P0",'Test cases'!$H$3:$H$200,"&lt;&gt;Pass")</f>
        <v>58</v>
      </c>
    </row>
    <row r="30" customFormat="false" ht="15" hidden="false" customHeight="false" outlineLevel="0" collapsed="false">
      <c r="A30" s="3" t="s">
        <v>33</v>
      </c>
      <c r="B30" s="6" t="n">
        <f aca="false">COUNTIFS('Bug log'!$D$3:$D$200,"S1 Critical",'Bug log'!$K$3:$K$200,"&lt;&gt;Closed")</f>
        <v>0</v>
      </c>
    </row>
    <row r="31" customFormat="false" ht="15" hidden="false" customHeight="false" outlineLevel="0" collapsed="false">
      <c r="A31" s="3" t="s">
        <v>34</v>
      </c>
      <c r="B31" s="6" t="n">
        <f aca="false">COUNTIFS('Bug log'!$D$3:$D$200,"S2 Major",'Bug log'!$K$3:$K$200,"&lt;&gt;Closed")</f>
        <v>1</v>
      </c>
    </row>
    <row r="32" customFormat="false" ht="15" hidden="false" customHeight="false" outlineLevel="0" collapsed="false">
      <c r="A32" s="2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5"/>
    <col collapsed="false" customWidth="true" hidden="false" outlineLevel="0" max="3" min="3" style="0" width="6"/>
    <col collapsed="false" customWidth="true" hidden="false" outlineLevel="0" max="4" min="4" style="0" width="9"/>
    <col collapsed="false" customWidth="true" hidden="false" outlineLevel="0" max="5" min="5" style="0" width="52"/>
    <col collapsed="false" customWidth="true" hidden="false" outlineLevel="0" max="6" min="6" style="0" width="56"/>
    <col collapsed="false" customWidth="true" hidden="false" outlineLevel="0" max="7" min="7" style="0" width="9"/>
    <col collapsed="false" customWidth="true" hidden="false" outlineLevel="0" max="9" min="8" style="0" width="12"/>
    <col collapsed="false" customWidth="true" hidden="false" outlineLevel="0" max="10" min="10" style="0" width="11"/>
    <col collapsed="false" customWidth="true" hidden="false" outlineLevel="0" max="11" min="11" style="0" width="10"/>
    <col collapsed="false" customWidth="true" hidden="false" outlineLevel="0" max="12" min="12" style="0" width="26"/>
  </cols>
  <sheetData>
    <row r="1" customFormat="false" ht="19.7" hidden="false" customHeight="false" outlineLevel="0" collapsed="false">
      <c r="A1" s="1" t="s">
        <v>36</v>
      </c>
    </row>
    <row r="2" customFormat="false" ht="15" hidden="false" customHeight="false" outlineLevel="0" collapsed="false">
      <c r="A2" s="7" t="s">
        <v>37</v>
      </c>
      <c r="B2" s="7" t="s">
        <v>38</v>
      </c>
      <c r="C2" s="7" t="s">
        <v>39</v>
      </c>
      <c r="D2" s="7" t="s">
        <v>40</v>
      </c>
      <c r="E2" s="7" t="s">
        <v>41</v>
      </c>
      <c r="F2" s="7" t="s">
        <v>42</v>
      </c>
      <c r="G2" s="7" t="s">
        <v>43</v>
      </c>
      <c r="H2" s="7" t="s">
        <v>44</v>
      </c>
      <c r="I2" s="7" t="s">
        <v>45</v>
      </c>
      <c r="J2" s="7" t="s">
        <v>46</v>
      </c>
      <c r="K2" s="7" t="s">
        <v>47</v>
      </c>
      <c r="L2" s="7" t="s">
        <v>48</v>
      </c>
    </row>
    <row r="3" customFormat="false" ht="23.85" hidden="false" customHeight="false" outlineLevel="0" collapsed="false">
      <c r="A3" s="8" t="s">
        <v>49</v>
      </c>
      <c r="B3" s="9" t="s">
        <v>50</v>
      </c>
      <c r="C3" s="10" t="s">
        <v>51</v>
      </c>
      <c r="D3" s="9" t="s">
        <v>52</v>
      </c>
      <c r="E3" s="9" t="s">
        <v>53</v>
      </c>
      <c r="F3" s="9" t="s">
        <v>54</v>
      </c>
      <c r="G3" s="11" t="s">
        <v>55</v>
      </c>
      <c r="H3" s="12" t="s">
        <v>31</v>
      </c>
      <c r="I3" s="13"/>
      <c r="J3" s="13"/>
      <c r="K3" s="13"/>
      <c r="L3" s="13"/>
    </row>
    <row r="4" customFormat="false" ht="23.85" hidden="false" customHeight="false" outlineLevel="0" collapsed="false">
      <c r="A4" s="8" t="s">
        <v>56</v>
      </c>
      <c r="B4" s="9" t="s">
        <v>50</v>
      </c>
      <c r="C4" s="10" t="s">
        <v>51</v>
      </c>
      <c r="D4" s="9" t="s">
        <v>52</v>
      </c>
      <c r="E4" s="9" t="s">
        <v>57</v>
      </c>
      <c r="F4" s="9" t="s">
        <v>58</v>
      </c>
      <c r="G4" s="11" t="s">
        <v>59</v>
      </c>
      <c r="H4" s="12" t="s">
        <v>31</v>
      </c>
      <c r="I4" s="13"/>
      <c r="J4" s="13"/>
      <c r="K4" s="13"/>
      <c r="L4" s="13"/>
    </row>
    <row r="5" customFormat="false" ht="23.85" hidden="false" customHeight="false" outlineLevel="0" collapsed="false">
      <c r="A5" s="8" t="s">
        <v>60</v>
      </c>
      <c r="B5" s="9" t="s">
        <v>50</v>
      </c>
      <c r="C5" s="10" t="s">
        <v>51</v>
      </c>
      <c r="D5" s="9" t="s">
        <v>52</v>
      </c>
      <c r="E5" s="9" t="s">
        <v>61</v>
      </c>
      <c r="F5" s="9" t="s">
        <v>62</v>
      </c>
      <c r="G5" s="11" t="s">
        <v>63</v>
      </c>
      <c r="H5" s="12" t="s">
        <v>31</v>
      </c>
      <c r="I5" s="13"/>
      <c r="J5" s="13"/>
      <c r="K5" s="13"/>
      <c r="L5" s="13"/>
    </row>
    <row r="6" customFormat="false" ht="15" hidden="false" customHeight="false" outlineLevel="0" collapsed="false">
      <c r="A6" s="8" t="s">
        <v>64</v>
      </c>
      <c r="B6" s="9" t="s">
        <v>50</v>
      </c>
      <c r="C6" s="10" t="s">
        <v>51</v>
      </c>
      <c r="D6" s="9" t="s">
        <v>52</v>
      </c>
      <c r="E6" s="9" t="s">
        <v>65</v>
      </c>
      <c r="F6" s="9" t="s">
        <v>66</v>
      </c>
      <c r="G6" s="11" t="s">
        <v>67</v>
      </c>
      <c r="H6" s="12" t="s">
        <v>31</v>
      </c>
      <c r="I6" s="13"/>
      <c r="J6" s="13"/>
      <c r="K6" s="13"/>
      <c r="L6" s="13"/>
    </row>
    <row r="7" customFormat="false" ht="15" hidden="false" customHeight="false" outlineLevel="0" collapsed="false">
      <c r="A7" s="8" t="s">
        <v>68</v>
      </c>
      <c r="B7" s="9" t="s">
        <v>50</v>
      </c>
      <c r="C7" s="10" t="s">
        <v>51</v>
      </c>
      <c r="D7" s="9" t="s">
        <v>52</v>
      </c>
      <c r="E7" s="9" t="s">
        <v>69</v>
      </c>
      <c r="F7" s="9" t="s">
        <v>70</v>
      </c>
      <c r="G7" s="11" t="s">
        <v>63</v>
      </c>
      <c r="H7" s="12" t="s">
        <v>31</v>
      </c>
      <c r="I7" s="13"/>
      <c r="J7" s="13"/>
      <c r="K7" s="13"/>
      <c r="L7" s="13"/>
    </row>
    <row r="8" customFormat="false" ht="15" hidden="false" customHeight="false" outlineLevel="0" collapsed="false">
      <c r="A8" s="8" t="s">
        <v>71</v>
      </c>
      <c r="B8" s="9" t="s">
        <v>50</v>
      </c>
      <c r="C8" s="10" t="s">
        <v>51</v>
      </c>
      <c r="D8" s="9" t="s">
        <v>52</v>
      </c>
      <c r="E8" s="9" t="s">
        <v>72</v>
      </c>
      <c r="F8" s="9" t="s">
        <v>73</v>
      </c>
      <c r="G8" s="11" t="s">
        <v>74</v>
      </c>
      <c r="H8" s="12" t="s">
        <v>31</v>
      </c>
      <c r="I8" s="13"/>
      <c r="J8" s="13"/>
      <c r="K8" s="13"/>
      <c r="L8" s="13"/>
    </row>
    <row r="9" customFormat="false" ht="15" hidden="false" customHeight="false" outlineLevel="0" collapsed="false">
      <c r="A9" s="8" t="s">
        <v>75</v>
      </c>
      <c r="B9" s="9" t="s">
        <v>50</v>
      </c>
      <c r="C9" s="10" t="s">
        <v>76</v>
      </c>
      <c r="D9" s="9" t="s">
        <v>52</v>
      </c>
      <c r="E9" s="9" t="s">
        <v>77</v>
      </c>
      <c r="F9" s="9" t="s">
        <v>78</v>
      </c>
      <c r="G9" s="11" t="s">
        <v>79</v>
      </c>
      <c r="H9" s="12" t="s">
        <v>31</v>
      </c>
      <c r="I9" s="13"/>
      <c r="J9" s="13"/>
      <c r="K9" s="13"/>
      <c r="L9" s="13"/>
    </row>
    <row r="10" customFormat="false" ht="15" hidden="false" customHeight="false" outlineLevel="0" collapsed="false">
      <c r="A10" s="8" t="s">
        <v>80</v>
      </c>
      <c r="B10" s="9" t="s">
        <v>50</v>
      </c>
      <c r="C10" s="10" t="s">
        <v>51</v>
      </c>
      <c r="D10" s="9" t="s">
        <v>52</v>
      </c>
      <c r="E10" s="9" t="s">
        <v>81</v>
      </c>
      <c r="F10" s="9" t="s">
        <v>82</v>
      </c>
      <c r="G10" s="11" t="s">
        <v>83</v>
      </c>
      <c r="H10" s="12" t="s">
        <v>31</v>
      </c>
      <c r="I10" s="13"/>
      <c r="J10" s="13"/>
      <c r="K10" s="13"/>
      <c r="L10" s="13"/>
    </row>
    <row r="11" customFormat="false" ht="23.85" hidden="false" customHeight="false" outlineLevel="0" collapsed="false">
      <c r="A11" s="8" t="s">
        <v>84</v>
      </c>
      <c r="B11" s="9" t="s">
        <v>85</v>
      </c>
      <c r="C11" s="10" t="s">
        <v>51</v>
      </c>
      <c r="D11" s="9" t="s">
        <v>52</v>
      </c>
      <c r="E11" s="9" t="s">
        <v>86</v>
      </c>
      <c r="F11" s="9" t="s">
        <v>87</v>
      </c>
      <c r="G11" s="11" t="s">
        <v>59</v>
      </c>
      <c r="H11" s="12" t="s">
        <v>31</v>
      </c>
      <c r="I11" s="13"/>
      <c r="J11" s="13"/>
      <c r="K11" s="13"/>
      <c r="L11" s="13"/>
    </row>
    <row r="12" customFormat="false" ht="15" hidden="false" customHeight="false" outlineLevel="0" collapsed="false">
      <c r="A12" s="8" t="s">
        <v>88</v>
      </c>
      <c r="B12" s="9" t="s">
        <v>85</v>
      </c>
      <c r="C12" s="10" t="s">
        <v>51</v>
      </c>
      <c r="D12" s="9" t="s">
        <v>52</v>
      </c>
      <c r="E12" s="9" t="s">
        <v>89</v>
      </c>
      <c r="F12" s="9" t="s">
        <v>90</v>
      </c>
      <c r="G12" s="11" t="s">
        <v>59</v>
      </c>
      <c r="H12" s="12" t="s">
        <v>31</v>
      </c>
      <c r="I12" s="13"/>
      <c r="J12" s="13"/>
      <c r="K12" s="13"/>
      <c r="L12" s="13"/>
    </row>
    <row r="13" customFormat="false" ht="15" hidden="false" customHeight="false" outlineLevel="0" collapsed="false">
      <c r="A13" s="8" t="s">
        <v>91</v>
      </c>
      <c r="B13" s="9" t="s">
        <v>85</v>
      </c>
      <c r="C13" s="10" t="s">
        <v>51</v>
      </c>
      <c r="D13" s="9" t="s">
        <v>52</v>
      </c>
      <c r="E13" s="9" t="s">
        <v>92</v>
      </c>
      <c r="F13" s="9" t="s">
        <v>93</v>
      </c>
      <c r="G13" s="11" t="s">
        <v>94</v>
      </c>
      <c r="H13" s="12" t="s">
        <v>31</v>
      </c>
      <c r="I13" s="13"/>
      <c r="J13" s="13"/>
      <c r="K13" s="13"/>
      <c r="L13" s="13"/>
    </row>
    <row r="14" customFormat="false" ht="23.85" hidden="false" customHeight="false" outlineLevel="0" collapsed="false">
      <c r="A14" s="8" t="s">
        <v>95</v>
      </c>
      <c r="B14" s="9" t="s">
        <v>85</v>
      </c>
      <c r="C14" s="10" t="s">
        <v>51</v>
      </c>
      <c r="D14" s="9" t="s">
        <v>52</v>
      </c>
      <c r="E14" s="9" t="s">
        <v>96</v>
      </c>
      <c r="F14" s="9" t="s">
        <v>97</v>
      </c>
      <c r="G14" s="11" t="s">
        <v>98</v>
      </c>
      <c r="H14" s="12" t="s">
        <v>31</v>
      </c>
      <c r="I14" s="13"/>
      <c r="J14" s="13"/>
      <c r="K14" s="13"/>
      <c r="L14" s="13"/>
    </row>
    <row r="15" customFormat="false" ht="23.85" hidden="false" customHeight="false" outlineLevel="0" collapsed="false">
      <c r="A15" s="8" t="s">
        <v>99</v>
      </c>
      <c r="B15" s="9" t="s">
        <v>100</v>
      </c>
      <c r="C15" s="10" t="s">
        <v>51</v>
      </c>
      <c r="D15" s="9" t="s">
        <v>52</v>
      </c>
      <c r="E15" s="9" t="s">
        <v>101</v>
      </c>
      <c r="F15" s="9" t="s">
        <v>102</v>
      </c>
      <c r="G15" s="11" t="s">
        <v>103</v>
      </c>
      <c r="H15" s="12" t="s">
        <v>31</v>
      </c>
      <c r="I15" s="13"/>
      <c r="J15" s="13"/>
      <c r="K15" s="13"/>
      <c r="L15" s="13"/>
    </row>
    <row r="16" customFormat="false" ht="15" hidden="false" customHeight="false" outlineLevel="0" collapsed="false">
      <c r="A16" s="8" t="s">
        <v>104</v>
      </c>
      <c r="B16" s="9" t="s">
        <v>100</v>
      </c>
      <c r="C16" s="10" t="s">
        <v>51</v>
      </c>
      <c r="D16" s="9" t="s">
        <v>52</v>
      </c>
      <c r="E16" s="9" t="s">
        <v>105</v>
      </c>
      <c r="F16" s="9" t="s">
        <v>106</v>
      </c>
      <c r="G16" s="11" t="s">
        <v>107</v>
      </c>
      <c r="H16" s="12" t="s">
        <v>31</v>
      </c>
      <c r="I16" s="13"/>
      <c r="J16" s="13"/>
      <c r="K16" s="13"/>
      <c r="L16" s="13"/>
    </row>
    <row r="17" customFormat="false" ht="15" hidden="false" customHeight="false" outlineLevel="0" collapsed="false">
      <c r="A17" s="8" t="s">
        <v>108</v>
      </c>
      <c r="B17" s="9" t="s">
        <v>100</v>
      </c>
      <c r="C17" s="10" t="s">
        <v>51</v>
      </c>
      <c r="D17" s="9" t="s">
        <v>52</v>
      </c>
      <c r="E17" s="9" t="s">
        <v>109</v>
      </c>
      <c r="F17" s="9" t="s">
        <v>110</v>
      </c>
      <c r="G17" s="11" t="s">
        <v>107</v>
      </c>
      <c r="H17" s="12" t="s">
        <v>31</v>
      </c>
      <c r="I17" s="13"/>
      <c r="J17" s="13"/>
      <c r="K17" s="13"/>
      <c r="L17" s="13"/>
    </row>
    <row r="18" customFormat="false" ht="15" hidden="false" customHeight="false" outlineLevel="0" collapsed="false">
      <c r="A18" s="8" t="s">
        <v>111</v>
      </c>
      <c r="B18" s="9" t="s">
        <v>100</v>
      </c>
      <c r="C18" s="10" t="s">
        <v>51</v>
      </c>
      <c r="D18" s="9" t="s">
        <v>52</v>
      </c>
      <c r="E18" s="9" t="s">
        <v>112</v>
      </c>
      <c r="F18" s="9" t="s">
        <v>113</v>
      </c>
      <c r="G18" s="11" t="s">
        <v>114</v>
      </c>
      <c r="H18" s="12" t="s">
        <v>31</v>
      </c>
      <c r="I18" s="13"/>
      <c r="J18" s="13"/>
      <c r="K18" s="13"/>
      <c r="L18" s="13"/>
    </row>
    <row r="19" customFormat="false" ht="15" hidden="false" customHeight="false" outlineLevel="0" collapsed="false">
      <c r="A19" s="8" t="s">
        <v>115</v>
      </c>
      <c r="B19" s="9" t="s">
        <v>100</v>
      </c>
      <c r="C19" s="10" t="s">
        <v>51</v>
      </c>
      <c r="D19" s="9" t="s">
        <v>52</v>
      </c>
      <c r="E19" s="9" t="s">
        <v>116</v>
      </c>
      <c r="F19" s="9" t="s">
        <v>117</v>
      </c>
      <c r="G19" s="11" t="s">
        <v>118</v>
      </c>
      <c r="H19" s="12" t="s">
        <v>31</v>
      </c>
      <c r="I19" s="13"/>
      <c r="J19" s="13"/>
      <c r="K19" s="13"/>
      <c r="L19" s="13"/>
    </row>
    <row r="20" customFormat="false" ht="15" hidden="false" customHeight="false" outlineLevel="0" collapsed="false">
      <c r="A20" s="8" t="s">
        <v>119</v>
      </c>
      <c r="B20" s="9" t="s">
        <v>120</v>
      </c>
      <c r="C20" s="10" t="s">
        <v>51</v>
      </c>
      <c r="D20" s="9" t="s">
        <v>52</v>
      </c>
      <c r="E20" s="9" t="s">
        <v>121</v>
      </c>
      <c r="F20" s="9" t="s">
        <v>122</v>
      </c>
      <c r="G20" s="11" t="s">
        <v>123</v>
      </c>
      <c r="H20" s="12" t="s">
        <v>31</v>
      </c>
      <c r="I20" s="13"/>
      <c r="J20" s="13"/>
      <c r="K20" s="13"/>
      <c r="L20" s="13"/>
    </row>
    <row r="21" customFormat="false" ht="15" hidden="false" customHeight="false" outlineLevel="0" collapsed="false">
      <c r="A21" s="8" t="s">
        <v>124</v>
      </c>
      <c r="B21" s="9" t="s">
        <v>120</v>
      </c>
      <c r="C21" s="10" t="s">
        <v>51</v>
      </c>
      <c r="D21" s="9" t="s">
        <v>52</v>
      </c>
      <c r="E21" s="9" t="s">
        <v>125</v>
      </c>
      <c r="F21" s="9" t="s">
        <v>126</v>
      </c>
      <c r="G21" s="11" t="s">
        <v>123</v>
      </c>
      <c r="H21" s="12" t="s">
        <v>31</v>
      </c>
      <c r="I21" s="13"/>
      <c r="J21" s="13"/>
      <c r="K21" s="13"/>
      <c r="L21" s="13"/>
    </row>
    <row r="22" customFormat="false" ht="15" hidden="false" customHeight="false" outlineLevel="0" collapsed="false">
      <c r="A22" s="8" t="s">
        <v>127</v>
      </c>
      <c r="B22" s="9" t="s">
        <v>120</v>
      </c>
      <c r="C22" s="10" t="s">
        <v>51</v>
      </c>
      <c r="D22" s="9" t="s">
        <v>52</v>
      </c>
      <c r="E22" s="9" t="s">
        <v>128</v>
      </c>
      <c r="F22" s="9" t="s">
        <v>129</v>
      </c>
      <c r="G22" s="11" t="s">
        <v>130</v>
      </c>
      <c r="H22" s="12" t="s">
        <v>31</v>
      </c>
      <c r="I22" s="13"/>
      <c r="J22" s="13"/>
      <c r="K22" s="13"/>
      <c r="L22" s="13"/>
    </row>
    <row r="23" customFormat="false" ht="15" hidden="false" customHeight="false" outlineLevel="0" collapsed="false">
      <c r="A23" s="8" t="s">
        <v>131</v>
      </c>
      <c r="B23" s="9" t="s">
        <v>120</v>
      </c>
      <c r="C23" s="10" t="s">
        <v>76</v>
      </c>
      <c r="D23" s="9" t="s">
        <v>52</v>
      </c>
      <c r="E23" s="9" t="s">
        <v>132</v>
      </c>
      <c r="F23" s="9" t="s">
        <v>133</v>
      </c>
      <c r="G23" s="11" t="s">
        <v>134</v>
      </c>
      <c r="H23" s="12" t="s">
        <v>31</v>
      </c>
      <c r="I23" s="13"/>
      <c r="J23" s="13"/>
      <c r="K23" s="13"/>
      <c r="L23" s="13"/>
    </row>
    <row r="24" customFormat="false" ht="15" hidden="false" customHeight="false" outlineLevel="0" collapsed="false">
      <c r="A24" s="8" t="s">
        <v>135</v>
      </c>
      <c r="B24" s="9" t="s">
        <v>136</v>
      </c>
      <c r="C24" s="10" t="s">
        <v>51</v>
      </c>
      <c r="D24" s="9" t="s">
        <v>52</v>
      </c>
      <c r="E24" s="9" t="s">
        <v>137</v>
      </c>
      <c r="F24" s="9" t="s">
        <v>138</v>
      </c>
      <c r="G24" s="11" t="s">
        <v>139</v>
      </c>
      <c r="H24" s="12" t="s">
        <v>31</v>
      </c>
      <c r="I24" s="13"/>
      <c r="J24" s="13"/>
      <c r="K24" s="13"/>
      <c r="L24" s="13"/>
    </row>
    <row r="25" customFormat="false" ht="15" hidden="false" customHeight="false" outlineLevel="0" collapsed="false">
      <c r="A25" s="8" t="s">
        <v>140</v>
      </c>
      <c r="B25" s="9" t="s">
        <v>136</v>
      </c>
      <c r="C25" s="10" t="s">
        <v>51</v>
      </c>
      <c r="D25" s="9" t="s">
        <v>52</v>
      </c>
      <c r="E25" s="9" t="s">
        <v>141</v>
      </c>
      <c r="F25" s="9" t="s">
        <v>142</v>
      </c>
      <c r="G25" s="11" t="s">
        <v>143</v>
      </c>
      <c r="H25" s="12" t="s">
        <v>31</v>
      </c>
      <c r="I25" s="13"/>
      <c r="J25" s="13"/>
      <c r="K25" s="13"/>
      <c r="L25" s="13"/>
    </row>
    <row r="26" customFormat="false" ht="15" hidden="false" customHeight="false" outlineLevel="0" collapsed="false">
      <c r="A26" s="8" t="s">
        <v>144</v>
      </c>
      <c r="B26" s="9" t="s">
        <v>136</v>
      </c>
      <c r="C26" s="10" t="s">
        <v>51</v>
      </c>
      <c r="D26" s="9" t="s">
        <v>52</v>
      </c>
      <c r="E26" s="9" t="s">
        <v>145</v>
      </c>
      <c r="F26" s="9" t="s">
        <v>146</v>
      </c>
      <c r="G26" s="11" t="s">
        <v>147</v>
      </c>
      <c r="H26" s="12" t="s">
        <v>31</v>
      </c>
      <c r="I26" s="13"/>
      <c r="J26" s="13"/>
      <c r="K26" s="13"/>
      <c r="L26" s="13"/>
    </row>
    <row r="27" customFormat="false" ht="15" hidden="false" customHeight="false" outlineLevel="0" collapsed="false">
      <c r="A27" s="8" t="s">
        <v>148</v>
      </c>
      <c r="B27" s="9" t="s">
        <v>136</v>
      </c>
      <c r="C27" s="10" t="s">
        <v>51</v>
      </c>
      <c r="D27" s="9" t="s">
        <v>52</v>
      </c>
      <c r="E27" s="9" t="s">
        <v>149</v>
      </c>
      <c r="F27" s="9" t="s">
        <v>150</v>
      </c>
      <c r="G27" s="11" t="s">
        <v>147</v>
      </c>
      <c r="H27" s="12" t="s">
        <v>31</v>
      </c>
      <c r="I27" s="13"/>
      <c r="J27" s="13"/>
      <c r="K27" s="13"/>
      <c r="L27" s="13"/>
    </row>
    <row r="28" customFormat="false" ht="23.85" hidden="false" customHeight="false" outlineLevel="0" collapsed="false">
      <c r="A28" s="8" t="s">
        <v>151</v>
      </c>
      <c r="B28" s="9" t="s">
        <v>136</v>
      </c>
      <c r="C28" s="10" t="s">
        <v>51</v>
      </c>
      <c r="D28" s="9" t="s">
        <v>52</v>
      </c>
      <c r="E28" s="9" t="s">
        <v>152</v>
      </c>
      <c r="F28" s="9" t="s">
        <v>153</v>
      </c>
      <c r="G28" s="11" t="s">
        <v>154</v>
      </c>
      <c r="H28" s="12" t="s">
        <v>31</v>
      </c>
      <c r="I28" s="13"/>
      <c r="J28" s="13"/>
      <c r="K28" s="13"/>
      <c r="L28" s="13"/>
    </row>
    <row r="29" customFormat="false" ht="15" hidden="false" customHeight="false" outlineLevel="0" collapsed="false">
      <c r="A29" s="8" t="s">
        <v>155</v>
      </c>
      <c r="B29" s="9" t="s">
        <v>136</v>
      </c>
      <c r="C29" s="10" t="s">
        <v>51</v>
      </c>
      <c r="D29" s="9" t="s">
        <v>52</v>
      </c>
      <c r="E29" s="9" t="s">
        <v>156</v>
      </c>
      <c r="F29" s="9" t="s">
        <v>157</v>
      </c>
      <c r="G29" s="11" t="s">
        <v>158</v>
      </c>
      <c r="H29" s="12" t="s">
        <v>31</v>
      </c>
      <c r="I29" s="13"/>
      <c r="J29" s="13"/>
      <c r="K29" s="13"/>
      <c r="L29" s="13"/>
    </row>
    <row r="30" customFormat="false" ht="15" hidden="false" customHeight="false" outlineLevel="0" collapsed="false">
      <c r="A30" s="8" t="s">
        <v>159</v>
      </c>
      <c r="B30" s="9" t="s">
        <v>136</v>
      </c>
      <c r="C30" s="10" t="s">
        <v>51</v>
      </c>
      <c r="D30" s="9" t="s">
        <v>52</v>
      </c>
      <c r="E30" s="9" t="s">
        <v>160</v>
      </c>
      <c r="F30" s="9" t="s">
        <v>161</v>
      </c>
      <c r="G30" s="11" t="s">
        <v>162</v>
      </c>
      <c r="H30" s="12" t="s">
        <v>31</v>
      </c>
      <c r="I30" s="13"/>
      <c r="J30" s="13"/>
      <c r="K30" s="13"/>
      <c r="L30" s="13"/>
    </row>
    <row r="31" customFormat="false" ht="15" hidden="false" customHeight="false" outlineLevel="0" collapsed="false">
      <c r="A31" s="8" t="s">
        <v>163</v>
      </c>
      <c r="B31" s="9" t="s">
        <v>136</v>
      </c>
      <c r="C31" s="10" t="s">
        <v>51</v>
      </c>
      <c r="D31" s="9" t="s">
        <v>52</v>
      </c>
      <c r="E31" s="9" t="s">
        <v>164</v>
      </c>
      <c r="F31" s="9" t="s">
        <v>165</v>
      </c>
      <c r="G31" s="11" t="s">
        <v>166</v>
      </c>
      <c r="H31" s="12" t="s">
        <v>31</v>
      </c>
      <c r="I31" s="13"/>
      <c r="J31" s="13"/>
      <c r="K31" s="13"/>
      <c r="L31" s="13"/>
    </row>
    <row r="32" customFormat="false" ht="15" hidden="false" customHeight="false" outlineLevel="0" collapsed="false">
      <c r="A32" s="8" t="s">
        <v>167</v>
      </c>
      <c r="B32" s="9" t="s">
        <v>136</v>
      </c>
      <c r="C32" s="10" t="s">
        <v>76</v>
      </c>
      <c r="D32" s="9" t="s">
        <v>52</v>
      </c>
      <c r="E32" s="9" t="s">
        <v>168</v>
      </c>
      <c r="F32" s="9" t="s">
        <v>169</v>
      </c>
      <c r="G32" s="11" t="s">
        <v>170</v>
      </c>
      <c r="H32" s="12" t="s">
        <v>31</v>
      </c>
      <c r="I32" s="13"/>
      <c r="J32" s="13"/>
      <c r="K32" s="13"/>
      <c r="L32" s="13"/>
    </row>
    <row r="33" customFormat="false" ht="15" hidden="false" customHeight="false" outlineLevel="0" collapsed="false">
      <c r="A33" s="8" t="s">
        <v>171</v>
      </c>
      <c r="B33" s="9" t="s">
        <v>172</v>
      </c>
      <c r="C33" s="10" t="s">
        <v>51</v>
      </c>
      <c r="D33" s="9" t="s">
        <v>173</v>
      </c>
      <c r="E33" s="9" t="s">
        <v>174</v>
      </c>
      <c r="F33" s="9" t="s">
        <v>175</v>
      </c>
      <c r="G33" s="11" t="s">
        <v>176</v>
      </c>
      <c r="H33" s="12" t="s">
        <v>31</v>
      </c>
      <c r="I33" s="13"/>
      <c r="J33" s="13"/>
      <c r="K33" s="13"/>
      <c r="L33" s="13"/>
    </row>
    <row r="34" customFormat="false" ht="15" hidden="false" customHeight="false" outlineLevel="0" collapsed="false">
      <c r="A34" s="8" t="s">
        <v>177</v>
      </c>
      <c r="B34" s="9" t="s">
        <v>172</v>
      </c>
      <c r="C34" s="10" t="s">
        <v>51</v>
      </c>
      <c r="D34" s="9" t="s">
        <v>52</v>
      </c>
      <c r="E34" s="9" t="s">
        <v>178</v>
      </c>
      <c r="F34" s="9" t="s">
        <v>179</v>
      </c>
      <c r="G34" s="11" t="s">
        <v>180</v>
      </c>
      <c r="H34" s="12" t="s">
        <v>31</v>
      </c>
      <c r="I34" s="13"/>
      <c r="J34" s="13"/>
      <c r="K34" s="13"/>
      <c r="L34" s="13"/>
    </row>
    <row r="35" customFormat="false" ht="23.85" hidden="false" customHeight="false" outlineLevel="0" collapsed="false">
      <c r="A35" s="8" t="s">
        <v>181</v>
      </c>
      <c r="B35" s="9" t="s">
        <v>172</v>
      </c>
      <c r="C35" s="10" t="s">
        <v>51</v>
      </c>
      <c r="D35" s="9" t="s">
        <v>173</v>
      </c>
      <c r="E35" s="9" t="s">
        <v>182</v>
      </c>
      <c r="F35" s="9" t="s">
        <v>183</v>
      </c>
      <c r="G35" s="11" t="s">
        <v>184</v>
      </c>
      <c r="H35" s="12" t="s">
        <v>31</v>
      </c>
      <c r="I35" s="13"/>
      <c r="J35" s="13"/>
      <c r="K35" s="13"/>
      <c r="L35" s="13"/>
    </row>
    <row r="36" customFormat="false" ht="15" hidden="false" customHeight="false" outlineLevel="0" collapsed="false">
      <c r="A36" s="8" t="s">
        <v>185</v>
      </c>
      <c r="B36" s="9" t="s">
        <v>172</v>
      </c>
      <c r="C36" s="10" t="s">
        <v>51</v>
      </c>
      <c r="D36" s="9" t="s">
        <v>173</v>
      </c>
      <c r="E36" s="9" t="s">
        <v>186</v>
      </c>
      <c r="F36" s="9" t="s">
        <v>187</v>
      </c>
      <c r="G36" s="11" t="s">
        <v>188</v>
      </c>
      <c r="H36" s="12" t="s">
        <v>31</v>
      </c>
      <c r="I36" s="13"/>
      <c r="J36" s="13"/>
      <c r="K36" s="13"/>
      <c r="L36" s="13"/>
    </row>
    <row r="37" customFormat="false" ht="15" hidden="false" customHeight="false" outlineLevel="0" collapsed="false">
      <c r="A37" s="8" t="s">
        <v>189</v>
      </c>
      <c r="B37" s="9" t="s">
        <v>172</v>
      </c>
      <c r="C37" s="10" t="s">
        <v>51</v>
      </c>
      <c r="D37" s="9" t="s">
        <v>173</v>
      </c>
      <c r="E37" s="9" t="s">
        <v>190</v>
      </c>
      <c r="F37" s="9" t="s">
        <v>191</v>
      </c>
      <c r="G37" s="11" t="s">
        <v>188</v>
      </c>
      <c r="H37" s="12" t="s">
        <v>31</v>
      </c>
      <c r="I37" s="13"/>
      <c r="J37" s="13"/>
      <c r="K37" s="13"/>
      <c r="L37" s="13"/>
    </row>
    <row r="38" customFormat="false" ht="23.85" hidden="false" customHeight="false" outlineLevel="0" collapsed="false">
      <c r="A38" s="8" t="s">
        <v>192</v>
      </c>
      <c r="B38" s="9" t="s">
        <v>172</v>
      </c>
      <c r="C38" s="10" t="s">
        <v>51</v>
      </c>
      <c r="D38" s="9" t="s">
        <v>173</v>
      </c>
      <c r="E38" s="9" t="s">
        <v>193</v>
      </c>
      <c r="F38" s="9" t="s">
        <v>194</v>
      </c>
      <c r="G38" s="11" t="s">
        <v>195</v>
      </c>
      <c r="H38" s="12" t="s">
        <v>31</v>
      </c>
      <c r="I38" s="13"/>
      <c r="J38" s="13"/>
      <c r="K38" s="13"/>
      <c r="L38" s="13"/>
    </row>
    <row r="39" customFormat="false" ht="15" hidden="false" customHeight="false" outlineLevel="0" collapsed="false">
      <c r="A39" s="8" t="s">
        <v>196</v>
      </c>
      <c r="B39" s="9" t="s">
        <v>172</v>
      </c>
      <c r="C39" s="10" t="s">
        <v>51</v>
      </c>
      <c r="D39" s="9" t="s">
        <v>173</v>
      </c>
      <c r="E39" s="9" t="s">
        <v>197</v>
      </c>
      <c r="F39" s="9" t="s">
        <v>198</v>
      </c>
      <c r="G39" s="11" t="s">
        <v>199</v>
      </c>
      <c r="H39" s="12" t="s">
        <v>31</v>
      </c>
      <c r="I39" s="13"/>
      <c r="J39" s="13"/>
      <c r="K39" s="13"/>
      <c r="L39" s="13"/>
    </row>
    <row r="40" customFormat="false" ht="15" hidden="false" customHeight="false" outlineLevel="0" collapsed="false">
      <c r="A40" s="8" t="s">
        <v>200</v>
      </c>
      <c r="B40" s="9" t="s">
        <v>172</v>
      </c>
      <c r="C40" s="10" t="s">
        <v>51</v>
      </c>
      <c r="D40" s="9" t="s">
        <v>173</v>
      </c>
      <c r="E40" s="9" t="s">
        <v>201</v>
      </c>
      <c r="F40" s="9" t="s">
        <v>202</v>
      </c>
      <c r="G40" s="11" t="s">
        <v>203</v>
      </c>
      <c r="H40" s="12" t="s">
        <v>31</v>
      </c>
      <c r="I40" s="13"/>
      <c r="J40" s="13"/>
      <c r="K40" s="13"/>
      <c r="L40" s="13"/>
    </row>
    <row r="41" customFormat="false" ht="15" hidden="false" customHeight="false" outlineLevel="0" collapsed="false">
      <c r="A41" s="8" t="s">
        <v>204</v>
      </c>
      <c r="B41" s="9" t="s">
        <v>172</v>
      </c>
      <c r="C41" s="10" t="s">
        <v>76</v>
      </c>
      <c r="D41" s="9" t="s">
        <v>173</v>
      </c>
      <c r="E41" s="9" t="s">
        <v>205</v>
      </c>
      <c r="F41" s="9" t="s">
        <v>206</v>
      </c>
      <c r="G41" s="11" t="s">
        <v>207</v>
      </c>
      <c r="H41" s="12" t="s">
        <v>31</v>
      </c>
      <c r="I41" s="13"/>
      <c r="J41" s="13"/>
      <c r="K41" s="13"/>
      <c r="L41" s="13"/>
    </row>
    <row r="42" customFormat="false" ht="15" hidden="false" customHeight="false" outlineLevel="0" collapsed="false">
      <c r="A42" s="8" t="s">
        <v>208</v>
      </c>
      <c r="B42" s="9" t="s">
        <v>209</v>
      </c>
      <c r="C42" s="10" t="s">
        <v>51</v>
      </c>
      <c r="D42" s="9" t="s">
        <v>173</v>
      </c>
      <c r="E42" s="9" t="s">
        <v>210</v>
      </c>
      <c r="F42" s="9" t="s">
        <v>211</v>
      </c>
      <c r="G42" s="11" t="s">
        <v>212</v>
      </c>
      <c r="H42" s="12" t="s">
        <v>31</v>
      </c>
      <c r="I42" s="13"/>
      <c r="J42" s="13"/>
      <c r="K42" s="13"/>
      <c r="L42" s="13"/>
    </row>
    <row r="43" customFormat="false" ht="15" hidden="false" customHeight="false" outlineLevel="0" collapsed="false">
      <c r="A43" s="8" t="s">
        <v>213</v>
      </c>
      <c r="B43" s="9" t="s">
        <v>209</v>
      </c>
      <c r="C43" s="10" t="s">
        <v>51</v>
      </c>
      <c r="D43" s="9" t="s">
        <v>173</v>
      </c>
      <c r="E43" s="9" t="s">
        <v>214</v>
      </c>
      <c r="F43" s="9" t="s">
        <v>215</v>
      </c>
      <c r="G43" s="11" t="s">
        <v>216</v>
      </c>
      <c r="H43" s="12" t="s">
        <v>31</v>
      </c>
      <c r="I43" s="13"/>
      <c r="J43" s="13"/>
      <c r="K43" s="13"/>
      <c r="L43" s="13"/>
    </row>
    <row r="44" customFormat="false" ht="23.85" hidden="false" customHeight="false" outlineLevel="0" collapsed="false">
      <c r="A44" s="8" t="s">
        <v>217</v>
      </c>
      <c r="B44" s="9" t="s">
        <v>209</v>
      </c>
      <c r="C44" s="10" t="s">
        <v>51</v>
      </c>
      <c r="D44" s="9" t="s">
        <v>173</v>
      </c>
      <c r="E44" s="9" t="s">
        <v>218</v>
      </c>
      <c r="F44" s="9" t="s">
        <v>219</v>
      </c>
      <c r="G44" s="11" t="s">
        <v>220</v>
      </c>
      <c r="H44" s="12" t="s">
        <v>31</v>
      </c>
      <c r="I44" s="13"/>
      <c r="J44" s="13"/>
      <c r="K44" s="13"/>
      <c r="L44" s="13"/>
    </row>
    <row r="45" customFormat="false" ht="15" hidden="false" customHeight="false" outlineLevel="0" collapsed="false">
      <c r="A45" s="8" t="s">
        <v>221</v>
      </c>
      <c r="B45" s="9" t="s">
        <v>209</v>
      </c>
      <c r="C45" s="10" t="s">
        <v>51</v>
      </c>
      <c r="D45" s="9" t="s">
        <v>52</v>
      </c>
      <c r="E45" s="9" t="s">
        <v>222</v>
      </c>
      <c r="F45" s="9" t="s">
        <v>223</v>
      </c>
      <c r="G45" s="11" t="s">
        <v>224</v>
      </c>
      <c r="H45" s="12" t="s">
        <v>31</v>
      </c>
      <c r="I45" s="13"/>
      <c r="J45" s="13"/>
      <c r="K45" s="13"/>
      <c r="L45" s="13"/>
    </row>
    <row r="46" customFormat="false" ht="15" hidden="false" customHeight="false" outlineLevel="0" collapsed="false">
      <c r="A46" s="8" t="s">
        <v>225</v>
      </c>
      <c r="B46" s="9" t="s">
        <v>209</v>
      </c>
      <c r="C46" s="10" t="s">
        <v>76</v>
      </c>
      <c r="D46" s="9" t="s">
        <v>173</v>
      </c>
      <c r="E46" s="9" t="s">
        <v>226</v>
      </c>
      <c r="F46" s="9" t="s">
        <v>227</v>
      </c>
      <c r="G46" s="11" t="s">
        <v>228</v>
      </c>
      <c r="H46" s="12" t="s">
        <v>31</v>
      </c>
      <c r="I46" s="13"/>
      <c r="J46" s="13"/>
      <c r="K46" s="13"/>
      <c r="L46" s="13"/>
    </row>
    <row r="47" customFormat="false" ht="23.85" hidden="false" customHeight="false" outlineLevel="0" collapsed="false">
      <c r="A47" s="8" t="s">
        <v>229</v>
      </c>
      <c r="B47" s="9" t="s">
        <v>230</v>
      </c>
      <c r="C47" s="10" t="s">
        <v>51</v>
      </c>
      <c r="D47" s="9" t="s">
        <v>173</v>
      </c>
      <c r="E47" s="9" t="s">
        <v>231</v>
      </c>
      <c r="F47" s="9" t="s">
        <v>232</v>
      </c>
      <c r="G47" s="11" t="s">
        <v>233</v>
      </c>
      <c r="H47" s="12" t="s">
        <v>31</v>
      </c>
      <c r="I47" s="13"/>
      <c r="J47" s="13"/>
      <c r="K47" s="13"/>
      <c r="L47" s="13"/>
    </row>
    <row r="48" customFormat="false" ht="15" hidden="false" customHeight="false" outlineLevel="0" collapsed="false">
      <c r="A48" s="8" t="s">
        <v>234</v>
      </c>
      <c r="B48" s="9" t="s">
        <v>230</v>
      </c>
      <c r="C48" s="10" t="s">
        <v>51</v>
      </c>
      <c r="D48" s="9" t="s">
        <v>173</v>
      </c>
      <c r="E48" s="9" t="s">
        <v>235</v>
      </c>
      <c r="F48" s="9" t="s">
        <v>236</v>
      </c>
      <c r="G48" s="11" t="s">
        <v>237</v>
      </c>
      <c r="H48" s="12" t="s">
        <v>31</v>
      </c>
      <c r="I48" s="13"/>
      <c r="J48" s="13"/>
      <c r="K48" s="13"/>
      <c r="L48" s="13"/>
    </row>
    <row r="49" customFormat="false" ht="23.85" hidden="false" customHeight="false" outlineLevel="0" collapsed="false">
      <c r="A49" s="8" t="s">
        <v>238</v>
      </c>
      <c r="B49" s="9" t="s">
        <v>230</v>
      </c>
      <c r="C49" s="10" t="s">
        <v>51</v>
      </c>
      <c r="D49" s="9" t="s">
        <v>173</v>
      </c>
      <c r="E49" s="9" t="s">
        <v>239</v>
      </c>
      <c r="F49" s="9" t="s">
        <v>240</v>
      </c>
      <c r="G49" s="11" t="s">
        <v>241</v>
      </c>
      <c r="H49" s="12" t="s">
        <v>31</v>
      </c>
      <c r="I49" s="13"/>
      <c r="J49" s="13"/>
      <c r="K49" s="13"/>
      <c r="L49" s="13"/>
    </row>
    <row r="50" customFormat="false" ht="15" hidden="false" customHeight="false" outlineLevel="0" collapsed="false">
      <c r="A50" s="8" t="s">
        <v>242</v>
      </c>
      <c r="B50" s="9" t="s">
        <v>230</v>
      </c>
      <c r="C50" s="10" t="s">
        <v>51</v>
      </c>
      <c r="D50" s="9" t="s">
        <v>173</v>
      </c>
      <c r="E50" s="9" t="s">
        <v>243</v>
      </c>
      <c r="F50" s="9" t="s">
        <v>244</v>
      </c>
      <c r="G50" s="11" t="s">
        <v>245</v>
      </c>
      <c r="H50" s="12" t="s">
        <v>31</v>
      </c>
      <c r="I50" s="13"/>
      <c r="J50" s="13"/>
      <c r="K50" s="13"/>
      <c r="L50" s="13"/>
    </row>
    <row r="51" customFormat="false" ht="15" hidden="false" customHeight="false" outlineLevel="0" collapsed="false">
      <c r="A51" s="8" t="s">
        <v>246</v>
      </c>
      <c r="B51" s="9" t="s">
        <v>230</v>
      </c>
      <c r="C51" s="10" t="s">
        <v>51</v>
      </c>
      <c r="D51" s="9" t="s">
        <v>173</v>
      </c>
      <c r="E51" s="9" t="s">
        <v>247</v>
      </c>
      <c r="F51" s="9" t="s">
        <v>248</v>
      </c>
      <c r="G51" s="11" t="s">
        <v>249</v>
      </c>
      <c r="H51" s="12" t="s">
        <v>31</v>
      </c>
      <c r="I51" s="13"/>
      <c r="J51" s="13"/>
      <c r="K51" s="13"/>
      <c r="L51" s="13"/>
    </row>
    <row r="52" customFormat="false" ht="23.85" hidden="false" customHeight="false" outlineLevel="0" collapsed="false">
      <c r="A52" s="8" t="s">
        <v>250</v>
      </c>
      <c r="B52" s="9" t="s">
        <v>230</v>
      </c>
      <c r="C52" s="10" t="s">
        <v>51</v>
      </c>
      <c r="D52" s="9" t="s">
        <v>173</v>
      </c>
      <c r="E52" s="9" t="s">
        <v>251</v>
      </c>
      <c r="F52" s="9" t="s">
        <v>252</v>
      </c>
      <c r="G52" s="11" t="s">
        <v>253</v>
      </c>
      <c r="H52" s="12" t="s">
        <v>31</v>
      </c>
      <c r="I52" s="13"/>
      <c r="J52" s="13"/>
      <c r="K52" s="13"/>
      <c r="L52" s="13"/>
    </row>
    <row r="53" customFormat="false" ht="15" hidden="false" customHeight="false" outlineLevel="0" collapsed="false">
      <c r="A53" s="8" t="s">
        <v>254</v>
      </c>
      <c r="B53" s="9" t="s">
        <v>230</v>
      </c>
      <c r="C53" s="10" t="s">
        <v>51</v>
      </c>
      <c r="D53" s="9" t="s">
        <v>173</v>
      </c>
      <c r="E53" s="9" t="s">
        <v>255</v>
      </c>
      <c r="F53" s="9" t="s">
        <v>256</v>
      </c>
      <c r="G53" s="11" t="s">
        <v>257</v>
      </c>
      <c r="H53" s="12" t="s">
        <v>31</v>
      </c>
      <c r="I53" s="13"/>
      <c r="J53" s="13"/>
      <c r="K53" s="13"/>
      <c r="L53" s="13"/>
    </row>
    <row r="54" customFormat="false" ht="15" hidden="false" customHeight="false" outlineLevel="0" collapsed="false">
      <c r="A54" s="8" t="s">
        <v>258</v>
      </c>
      <c r="B54" s="9" t="s">
        <v>259</v>
      </c>
      <c r="C54" s="10" t="s">
        <v>51</v>
      </c>
      <c r="D54" s="9" t="s">
        <v>173</v>
      </c>
      <c r="E54" s="9" t="s">
        <v>260</v>
      </c>
      <c r="F54" s="9" t="s">
        <v>261</v>
      </c>
      <c r="G54" s="11" t="s">
        <v>262</v>
      </c>
      <c r="H54" s="12" t="s">
        <v>31</v>
      </c>
      <c r="I54" s="13"/>
      <c r="J54" s="13"/>
      <c r="K54" s="13"/>
      <c r="L54" s="13"/>
    </row>
    <row r="55" customFormat="false" ht="15" hidden="false" customHeight="false" outlineLevel="0" collapsed="false">
      <c r="A55" s="8" t="s">
        <v>263</v>
      </c>
      <c r="B55" s="9" t="s">
        <v>259</v>
      </c>
      <c r="C55" s="10" t="s">
        <v>51</v>
      </c>
      <c r="D55" s="9" t="s">
        <v>173</v>
      </c>
      <c r="E55" s="9" t="s">
        <v>264</v>
      </c>
      <c r="F55" s="9" t="s">
        <v>265</v>
      </c>
      <c r="G55" s="11" t="s">
        <v>266</v>
      </c>
      <c r="H55" s="12" t="s">
        <v>31</v>
      </c>
      <c r="I55" s="13"/>
      <c r="J55" s="13"/>
      <c r="K55" s="13"/>
      <c r="L55" s="13"/>
    </row>
    <row r="56" customFormat="false" ht="15" hidden="false" customHeight="false" outlineLevel="0" collapsed="false">
      <c r="A56" s="8" t="s">
        <v>267</v>
      </c>
      <c r="B56" s="9" t="s">
        <v>259</v>
      </c>
      <c r="C56" s="10" t="s">
        <v>51</v>
      </c>
      <c r="D56" s="9" t="s">
        <v>173</v>
      </c>
      <c r="E56" s="9" t="s">
        <v>268</v>
      </c>
      <c r="F56" s="9" t="s">
        <v>269</v>
      </c>
      <c r="G56" s="11" t="s">
        <v>270</v>
      </c>
      <c r="H56" s="12" t="s">
        <v>31</v>
      </c>
      <c r="I56" s="13"/>
      <c r="J56" s="13"/>
      <c r="K56" s="13"/>
      <c r="L56" s="13"/>
    </row>
    <row r="57" customFormat="false" ht="15" hidden="false" customHeight="false" outlineLevel="0" collapsed="false">
      <c r="A57" s="8" t="s">
        <v>271</v>
      </c>
      <c r="B57" s="9" t="s">
        <v>259</v>
      </c>
      <c r="C57" s="10" t="s">
        <v>51</v>
      </c>
      <c r="D57" s="9" t="s">
        <v>173</v>
      </c>
      <c r="E57" s="9" t="s">
        <v>272</v>
      </c>
      <c r="F57" s="9" t="s">
        <v>273</v>
      </c>
      <c r="G57" s="11" t="s">
        <v>274</v>
      </c>
      <c r="H57" s="12" t="s">
        <v>31</v>
      </c>
      <c r="I57" s="13"/>
      <c r="J57" s="13"/>
      <c r="K57" s="13"/>
      <c r="L57" s="13"/>
    </row>
    <row r="58" customFormat="false" ht="15" hidden="false" customHeight="false" outlineLevel="0" collapsed="false">
      <c r="A58" s="8" t="s">
        <v>275</v>
      </c>
      <c r="B58" s="9" t="s">
        <v>259</v>
      </c>
      <c r="C58" s="10" t="s">
        <v>51</v>
      </c>
      <c r="D58" s="9" t="s">
        <v>173</v>
      </c>
      <c r="E58" s="9" t="s">
        <v>276</v>
      </c>
      <c r="F58" s="9" t="s">
        <v>277</v>
      </c>
      <c r="G58" s="11" t="s">
        <v>278</v>
      </c>
      <c r="H58" s="12" t="s">
        <v>31</v>
      </c>
      <c r="I58" s="13"/>
      <c r="J58" s="13"/>
      <c r="K58" s="13"/>
      <c r="L58" s="13"/>
    </row>
    <row r="59" customFormat="false" ht="15" hidden="false" customHeight="false" outlineLevel="0" collapsed="false">
      <c r="A59" s="8" t="s">
        <v>279</v>
      </c>
      <c r="B59" s="9" t="s">
        <v>280</v>
      </c>
      <c r="C59" s="10" t="s">
        <v>51</v>
      </c>
      <c r="D59" s="9" t="s">
        <v>281</v>
      </c>
      <c r="E59" s="9" t="s">
        <v>282</v>
      </c>
      <c r="F59" s="9" t="s">
        <v>283</v>
      </c>
      <c r="G59" s="11" t="s">
        <v>284</v>
      </c>
      <c r="H59" s="12" t="s">
        <v>31</v>
      </c>
      <c r="I59" s="13"/>
      <c r="J59" s="13"/>
      <c r="K59" s="13"/>
      <c r="L59" s="13"/>
    </row>
    <row r="60" customFormat="false" ht="15" hidden="false" customHeight="false" outlineLevel="0" collapsed="false">
      <c r="A60" s="8" t="s">
        <v>285</v>
      </c>
      <c r="B60" s="9" t="s">
        <v>280</v>
      </c>
      <c r="C60" s="10" t="s">
        <v>51</v>
      </c>
      <c r="D60" s="9" t="s">
        <v>281</v>
      </c>
      <c r="E60" s="9" t="s">
        <v>286</v>
      </c>
      <c r="F60" s="9" t="s">
        <v>287</v>
      </c>
      <c r="G60" s="11" t="s">
        <v>288</v>
      </c>
      <c r="H60" s="12" t="s">
        <v>31</v>
      </c>
      <c r="I60" s="13"/>
      <c r="J60" s="13"/>
      <c r="K60" s="13"/>
      <c r="L60" s="13"/>
    </row>
    <row r="61" customFormat="false" ht="15" hidden="false" customHeight="false" outlineLevel="0" collapsed="false">
      <c r="A61" s="8" t="s">
        <v>289</v>
      </c>
      <c r="B61" s="9" t="s">
        <v>280</v>
      </c>
      <c r="C61" s="10" t="s">
        <v>51</v>
      </c>
      <c r="D61" s="9" t="s">
        <v>281</v>
      </c>
      <c r="E61" s="9" t="s">
        <v>290</v>
      </c>
      <c r="F61" s="9" t="s">
        <v>291</v>
      </c>
      <c r="G61" s="11" t="s">
        <v>292</v>
      </c>
      <c r="H61" s="12" t="s">
        <v>31</v>
      </c>
      <c r="I61" s="13"/>
      <c r="J61" s="13"/>
      <c r="K61" s="13"/>
      <c r="L61" s="13"/>
    </row>
    <row r="62" customFormat="false" ht="15" hidden="false" customHeight="false" outlineLevel="0" collapsed="false">
      <c r="A62" s="8" t="s">
        <v>293</v>
      </c>
      <c r="B62" s="9" t="s">
        <v>294</v>
      </c>
      <c r="C62" s="10" t="s">
        <v>51</v>
      </c>
      <c r="D62" s="9" t="s">
        <v>52</v>
      </c>
      <c r="E62" s="9" t="s">
        <v>295</v>
      </c>
      <c r="F62" s="9" t="s">
        <v>296</v>
      </c>
      <c r="G62" s="11" t="s">
        <v>297</v>
      </c>
      <c r="H62" s="12" t="s">
        <v>31</v>
      </c>
      <c r="I62" s="13"/>
      <c r="J62" s="13"/>
      <c r="K62" s="13"/>
      <c r="L62" s="13"/>
    </row>
    <row r="63" customFormat="false" ht="15" hidden="false" customHeight="false" outlineLevel="0" collapsed="false">
      <c r="A63" s="8" t="s">
        <v>298</v>
      </c>
      <c r="B63" s="9" t="s">
        <v>294</v>
      </c>
      <c r="C63" s="10" t="s">
        <v>51</v>
      </c>
      <c r="D63" s="9" t="s">
        <v>52</v>
      </c>
      <c r="E63" s="9" t="s">
        <v>299</v>
      </c>
      <c r="F63" s="9" t="s">
        <v>300</v>
      </c>
      <c r="G63" s="11" t="s">
        <v>297</v>
      </c>
      <c r="H63" s="12" t="s">
        <v>31</v>
      </c>
      <c r="I63" s="13"/>
      <c r="J63" s="13"/>
      <c r="K63" s="13"/>
      <c r="L63" s="13"/>
    </row>
    <row r="64" customFormat="false" ht="15" hidden="false" customHeight="false" outlineLevel="0" collapsed="false">
      <c r="A64" s="8" t="s">
        <v>301</v>
      </c>
      <c r="B64" s="9" t="s">
        <v>294</v>
      </c>
      <c r="C64" s="10" t="s">
        <v>51</v>
      </c>
      <c r="D64" s="9" t="s">
        <v>52</v>
      </c>
      <c r="E64" s="9" t="s">
        <v>302</v>
      </c>
      <c r="F64" s="9" t="s">
        <v>303</v>
      </c>
      <c r="G64" s="11" t="s">
        <v>297</v>
      </c>
      <c r="H64" s="12" t="s">
        <v>31</v>
      </c>
      <c r="I64" s="13"/>
      <c r="J64" s="13"/>
      <c r="K64" s="13"/>
      <c r="L64" s="13"/>
    </row>
    <row r="65" customFormat="false" ht="15" hidden="false" customHeight="false" outlineLevel="0" collapsed="false">
      <c r="A65" s="8" t="s">
        <v>304</v>
      </c>
      <c r="B65" s="9" t="s">
        <v>294</v>
      </c>
      <c r="C65" s="10" t="s">
        <v>51</v>
      </c>
      <c r="D65" s="9" t="s">
        <v>173</v>
      </c>
      <c r="E65" s="9" t="s">
        <v>305</v>
      </c>
      <c r="F65" s="9" t="s">
        <v>306</v>
      </c>
      <c r="G65" s="11" t="s">
        <v>307</v>
      </c>
      <c r="H65" s="12" t="s">
        <v>31</v>
      </c>
      <c r="I65" s="13"/>
      <c r="J65" s="13"/>
      <c r="K65" s="13"/>
      <c r="L65" s="13"/>
    </row>
    <row r="66" customFormat="false" ht="15" hidden="false" customHeight="false" outlineLevel="0" collapsed="false">
      <c r="A66" s="8" t="s">
        <v>308</v>
      </c>
      <c r="B66" s="9" t="s">
        <v>294</v>
      </c>
      <c r="C66" s="10" t="s">
        <v>76</v>
      </c>
      <c r="D66" s="9" t="s">
        <v>52</v>
      </c>
      <c r="E66" s="9" t="s">
        <v>309</v>
      </c>
      <c r="F66" s="9" t="s">
        <v>310</v>
      </c>
      <c r="G66" s="11" t="s">
        <v>311</v>
      </c>
      <c r="H66" s="12" t="s">
        <v>31</v>
      </c>
      <c r="I66" s="13"/>
      <c r="J66" s="13"/>
      <c r="K66" s="13"/>
      <c r="L66" s="13"/>
    </row>
    <row r="67" customFormat="false" ht="15" hidden="false" customHeight="false" outlineLevel="0" collapsed="false">
      <c r="A67" s="8" t="s">
        <v>312</v>
      </c>
      <c r="B67" s="9" t="s">
        <v>294</v>
      </c>
      <c r="C67" s="10" t="s">
        <v>76</v>
      </c>
      <c r="D67" s="9" t="s">
        <v>173</v>
      </c>
      <c r="E67" s="9" t="s">
        <v>313</v>
      </c>
      <c r="F67" s="9" t="s">
        <v>314</v>
      </c>
      <c r="G67" s="11" t="s">
        <v>297</v>
      </c>
      <c r="H67" s="12" t="s">
        <v>31</v>
      </c>
      <c r="I67" s="13"/>
      <c r="J67" s="13"/>
      <c r="K67" s="13"/>
      <c r="L67" s="13"/>
    </row>
  </sheetData>
  <autoFilter ref="A2:L67"/>
  <dataValidations count="1">
    <dataValidation allowBlank="false" errorStyle="stop" operator="between" showDropDown="false" showErrorMessage="false" showInputMessage="false" sqref="H3:H67" type="list">
      <formula1>"Pass,Fail,Blocked,Not tested"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20"/>
    <col collapsed="false" customWidth="true" hidden="false" outlineLevel="0" max="6" min="6" style="0" width="26"/>
    <col collapsed="false" customWidth="true" hidden="false" outlineLevel="0" max="7" min="7" style="0" width="42"/>
    <col collapsed="false" customWidth="true" hidden="false" outlineLevel="0" max="8" min="8" style="0" width="30"/>
    <col collapsed="false" customWidth="true" hidden="false" outlineLevel="0" max="9" min="9" style="0" width="38"/>
    <col collapsed="false" customWidth="true" hidden="false" outlineLevel="0" max="11" min="10" style="0" width="20"/>
    <col collapsed="false" customWidth="true" hidden="false" outlineLevel="0" max="12" min="12" style="0" width="12"/>
    <col collapsed="false" customWidth="true" hidden="false" outlineLevel="0" max="13" min="13" style="0" width="22"/>
  </cols>
  <sheetData>
    <row r="1" customFormat="false" ht="19.7" hidden="false" customHeight="false" outlineLevel="0" collapsed="false">
      <c r="A1" s="1" t="s">
        <v>315</v>
      </c>
    </row>
    <row r="2" customFormat="false" ht="15" hidden="false" customHeight="false" outlineLevel="0" collapsed="false">
      <c r="A2" s="7" t="s">
        <v>47</v>
      </c>
      <c r="B2" s="7" t="s">
        <v>316</v>
      </c>
      <c r="C2" s="7" t="s">
        <v>317</v>
      </c>
      <c r="D2" s="7" t="s">
        <v>318</v>
      </c>
      <c r="E2" s="7" t="s">
        <v>319</v>
      </c>
      <c r="F2" s="7" t="s">
        <v>320</v>
      </c>
      <c r="G2" s="7" t="s">
        <v>321</v>
      </c>
      <c r="H2" s="7" t="s">
        <v>322</v>
      </c>
      <c r="I2" s="7" t="s">
        <v>323</v>
      </c>
      <c r="J2" s="7" t="s">
        <v>324</v>
      </c>
      <c r="K2" s="7" t="s">
        <v>325</v>
      </c>
      <c r="L2" s="7" t="s">
        <v>326</v>
      </c>
      <c r="M2" s="7" t="s">
        <v>327</v>
      </c>
    </row>
    <row r="3" customFormat="false" ht="46.25" hidden="false" customHeight="false" outlineLevel="0" collapsed="false">
      <c r="A3" s="14" t="s">
        <v>328</v>
      </c>
      <c r="B3" s="14" t="s">
        <v>329</v>
      </c>
      <c r="C3" s="14" t="s">
        <v>330</v>
      </c>
      <c r="D3" s="14" t="s">
        <v>18</v>
      </c>
      <c r="E3" s="14" t="s">
        <v>331</v>
      </c>
      <c r="F3" s="14" t="s">
        <v>332</v>
      </c>
      <c r="G3" s="14" t="s">
        <v>333</v>
      </c>
      <c r="H3" s="14" t="s">
        <v>334</v>
      </c>
      <c r="I3" s="14" t="s">
        <v>335</v>
      </c>
      <c r="J3" s="14" t="s">
        <v>336</v>
      </c>
      <c r="K3" s="14" t="s">
        <v>337</v>
      </c>
      <c r="L3" s="14" t="s">
        <v>338</v>
      </c>
      <c r="M3" s="14"/>
    </row>
    <row r="4" customFormat="false" ht="15" hidden="false" customHeight="false" outlineLevel="0" collapsed="false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</row>
    <row r="5" customFormat="false" ht="15" hidden="false" customHeight="false" outlineLevel="0" collapsed="false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</row>
    <row r="6" customFormat="false" ht="15" hidden="false" customHeight="false" outlineLevel="0" collapsed="false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</row>
    <row r="7" customFormat="false" ht="15" hidden="false" customHeight="false" outlineLevel="0" collapsed="false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</row>
    <row r="8" customFormat="false" ht="15" hidden="false" customHeight="false" outlineLevel="0" collapsed="false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</row>
    <row r="9" customFormat="false" ht="15" hidden="false" customHeight="false" outlineLevel="0" collapsed="false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</row>
    <row r="10" customFormat="false" ht="15" hidden="false" customHeight="false" outlineLevel="0" collapsed="false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</row>
    <row r="11" customFormat="false" ht="15" hidden="false" customHeight="false" outlineLevel="0" collapsed="false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</row>
    <row r="12" customFormat="false" ht="15" hidden="false" customHeight="false" outlineLevel="0" collapsed="false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</row>
    <row r="13" customFormat="false" ht="15" hidden="false" customHeight="false" outlineLevel="0" collapsed="false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</row>
    <row r="14" customFormat="false" ht="15" hidden="false" customHeight="false" outlineLevel="0" collapsed="false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</row>
    <row r="15" customFormat="false" ht="15" hidden="false" customHeight="false" outlineLevel="0" collapsed="false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</row>
    <row r="16" customFormat="false" ht="15" hidden="false" customHeight="false" outlineLevel="0" collapsed="false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</row>
    <row r="17" customFormat="false" ht="15" hidden="false" customHeight="false" outlineLevel="0" collapsed="false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</row>
    <row r="18" customFormat="false" ht="15" hidden="false" customHeight="false" outlineLevel="0" collapsed="false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</row>
    <row r="19" customFormat="false" ht="15" hidden="false" customHeight="false" outlineLevel="0" collapsed="false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</row>
    <row r="20" customFormat="false" ht="15" hidden="false" customHeight="false" outlineLevel="0" collapsed="false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</row>
    <row r="21" customFormat="false" ht="15" hidden="false" customHeight="false" outlineLevel="0" collapsed="false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</row>
    <row r="22" customFormat="false" ht="15" hidden="false" customHeight="false" outlineLevel="0" collapsed="false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</row>
    <row r="23" customFormat="false" ht="15" hidden="false" customHeight="false" outlineLevel="0" collapsed="false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</row>
    <row r="24" customFormat="false" ht="15" hidden="false" customHeight="false" outlineLevel="0" collapsed="false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</row>
    <row r="25" customFormat="false" ht="15" hidden="false" customHeight="false" outlineLevel="0" collapsed="false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</row>
    <row r="26" customFormat="false" ht="15" hidden="false" customHeight="false" outlineLevel="0" collapsed="false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</row>
    <row r="27" customFormat="false" ht="15" hidden="false" customHeight="false" outlineLevel="0" collapsed="false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</row>
    <row r="28" customFormat="false" ht="15" hidden="false" customHeight="false" outlineLevel="0" collapsed="false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</row>
    <row r="29" customFormat="false" ht="15" hidden="false" customHeight="false" outlineLevel="0" collapsed="false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</row>
    <row r="30" customFormat="false" ht="15" hidden="false" customHeight="false" outlineLevel="0" collapsed="false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</row>
    <row r="31" customFormat="false" ht="15" hidden="false" customHeight="false" outlineLevel="0" collapsed="false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</row>
    <row r="32" customFormat="false" ht="15" hidden="false" customHeight="false" outlineLevel="0" collapsed="false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</row>
    <row r="33" customFormat="false" ht="15" hidden="false" customHeight="false" outlineLevel="0" collapsed="false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</row>
    <row r="34" customFormat="false" ht="15" hidden="false" customHeight="false" outlineLevel="0" collapsed="false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</row>
    <row r="35" customFormat="false" ht="15" hidden="false" customHeight="false" outlineLevel="0" collapsed="false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</row>
    <row r="36" customFormat="false" ht="15" hidden="false" customHeight="false" outlineLevel="0" collapsed="false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</row>
    <row r="37" customFormat="false" ht="15" hidden="false" customHeight="false" outlineLevel="0" collapsed="false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</row>
    <row r="38" customFormat="false" ht="15" hidden="false" customHeight="false" outlineLevel="0" collapsed="false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</row>
    <row r="39" customFormat="false" ht="15" hidden="false" customHeight="false" outlineLevel="0" collapsed="false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</row>
    <row r="40" customFormat="false" ht="15" hidden="false" customHeight="false" outlineLevel="0" collapsed="false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</row>
    <row r="41" customFormat="false" ht="15" hidden="false" customHeight="false" outlineLevel="0" collapsed="false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</row>
    <row r="42" customFormat="false" ht="15" hidden="false" customHeight="false" outlineLevel="0" collapsed="false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</row>
    <row r="43" customFormat="false" ht="15" hidden="false" customHeight="false" outlineLevel="0" collapsed="false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</row>
    <row r="44" customFormat="false" ht="15" hidden="false" customHeight="false" outlineLevel="0" collapsed="false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</row>
    <row r="45" customFormat="false" ht="15" hidden="false" customHeight="false" outlineLevel="0" collapsed="false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</row>
    <row r="46" customFormat="false" ht="15" hidden="false" customHeight="false" outlineLevel="0" collapsed="false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</row>
    <row r="47" customFormat="false" ht="15" hidden="false" customHeight="false" outlineLevel="0" collapsed="false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</row>
    <row r="48" customFormat="false" ht="15" hidden="false" customHeight="false" outlineLevel="0" collapsed="false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</row>
    <row r="49" customFormat="false" ht="15" hidden="false" customHeight="false" outlineLevel="0" collapsed="false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</row>
    <row r="50" customFormat="false" ht="15" hidden="false" customHeight="false" outlineLevel="0" collapsed="false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</row>
    <row r="51" customFormat="false" ht="15" hidden="false" customHeight="false" outlineLevel="0" collapsed="false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</row>
    <row r="52" customFormat="false" ht="15" hidden="false" customHeight="false" outlineLevel="0" collapsed="false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</row>
    <row r="53" customFormat="false" ht="15" hidden="false" customHeight="false" outlineLevel="0" collapsed="false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</row>
    <row r="54" customFormat="false" ht="15" hidden="false" customHeight="false" outlineLevel="0" collapsed="false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</row>
    <row r="55" customFormat="false" ht="15" hidden="false" customHeight="false" outlineLevel="0" collapsed="false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</row>
    <row r="56" customFormat="false" ht="15" hidden="false" customHeight="false" outlineLevel="0" collapsed="false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</row>
    <row r="57" customFormat="false" ht="15" hidden="false" customHeight="false" outlineLevel="0" collapsed="false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</row>
    <row r="58" customFormat="false" ht="15" hidden="false" customHeight="false" outlineLevel="0" collapsed="false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</row>
    <row r="59" customFormat="false" ht="15" hidden="false" customHeight="false" outlineLevel="0" collapsed="false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</row>
  </sheetData>
  <autoFilter ref="A2:M59"/>
  <dataValidations count="2">
    <dataValidation allowBlank="true" errorStyle="stop" operator="between" showDropDown="false" showErrorMessage="false" showInputMessage="false" sqref="D3:D59" type="list">
      <formula1>"S1 Critical,S2 Major,S3 Minor,S4 Cosmetic"</formula1>
      <formula2>0</formula2>
    </dataValidation>
    <dataValidation allowBlank="true" errorStyle="stop" operator="between" showDropDown="false" showErrorMessage="false" showInputMessage="false" sqref="K3:K59" type="list">
      <formula1>"Open,In progress,Fixed - awaiting retest,Closed,Won't fix,Duplicate"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62"/>
    <col collapsed="false" customWidth="true" hidden="false" outlineLevel="0" max="5" min="5" style="0" width="40"/>
    <col collapsed="false" customWidth="true" hidden="false" outlineLevel="0" max="6" min="6" style="0" width="26"/>
  </cols>
  <sheetData>
    <row r="1" customFormat="false" ht="19.7" hidden="false" customHeight="false" outlineLevel="0" collapsed="false">
      <c r="A1" s="1" t="s">
        <v>339</v>
      </c>
    </row>
    <row r="2" customFormat="false" ht="15" hidden="false" customHeight="false" outlineLevel="0" collapsed="false">
      <c r="A2" s="2" t="s">
        <v>340</v>
      </c>
    </row>
    <row r="4" customFormat="false" ht="15" hidden="false" customHeight="false" outlineLevel="0" collapsed="false">
      <c r="A4" s="7" t="s">
        <v>37</v>
      </c>
      <c r="B4" s="7" t="s">
        <v>341</v>
      </c>
      <c r="C4" s="7" t="s">
        <v>318</v>
      </c>
      <c r="D4" s="7" t="s">
        <v>342</v>
      </c>
      <c r="E4" s="7" t="s">
        <v>343</v>
      </c>
      <c r="F4" s="7" t="s">
        <v>344</v>
      </c>
    </row>
    <row r="5" customFormat="false" ht="23.85" hidden="false" customHeight="false" outlineLevel="0" collapsed="false">
      <c r="A5" s="8" t="s">
        <v>345</v>
      </c>
      <c r="B5" s="9" t="s">
        <v>346</v>
      </c>
      <c r="C5" s="15" t="s">
        <v>16</v>
      </c>
      <c r="D5" s="9" t="s">
        <v>347</v>
      </c>
      <c r="E5" s="9" t="s">
        <v>348</v>
      </c>
      <c r="F5" s="15" t="s">
        <v>349</v>
      </c>
    </row>
    <row r="6" customFormat="false" ht="15" hidden="false" customHeight="false" outlineLevel="0" collapsed="false">
      <c r="A6" s="8" t="s">
        <v>350</v>
      </c>
      <c r="B6" s="9" t="s">
        <v>351</v>
      </c>
      <c r="C6" s="15" t="s">
        <v>16</v>
      </c>
      <c r="D6" s="9" t="s">
        <v>352</v>
      </c>
      <c r="E6" s="9" t="s">
        <v>353</v>
      </c>
      <c r="F6" s="15" t="s">
        <v>354</v>
      </c>
    </row>
    <row r="7" customFormat="false" ht="23.85" hidden="false" customHeight="false" outlineLevel="0" collapsed="false">
      <c r="A7" s="8" t="s">
        <v>355</v>
      </c>
      <c r="B7" s="9" t="s">
        <v>356</v>
      </c>
      <c r="C7" s="15" t="s">
        <v>16</v>
      </c>
      <c r="D7" s="9" t="s">
        <v>357</v>
      </c>
      <c r="E7" s="9" t="s">
        <v>358</v>
      </c>
      <c r="F7" s="15" t="s">
        <v>349</v>
      </c>
    </row>
    <row r="8" customFormat="false" ht="15" hidden="false" customHeight="false" outlineLevel="0" collapsed="false">
      <c r="A8" s="8" t="s">
        <v>359</v>
      </c>
      <c r="B8" s="9" t="s">
        <v>360</v>
      </c>
      <c r="C8" s="16" t="s">
        <v>18</v>
      </c>
      <c r="D8" s="9" t="s">
        <v>361</v>
      </c>
      <c r="E8" s="9" t="s">
        <v>362</v>
      </c>
      <c r="F8" s="15" t="s">
        <v>349</v>
      </c>
    </row>
    <row r="9" customFormat="false" ht="35.05" hidden="false" customHeight="false" outlineLevel="0" collapsed="false">
      <c r="A9" s="8" t="s">
        <v>363</v>
      </c>
      <c r="B9" s="9" t="s">
        <v>364</v>
      </c>
      <c r="C9" s="17" t="s">
        <v>20</v>
      </c>
      <c r="D9" s="9" t="s">
        <v>365</v>
      </c>
      <c r="E9" s="9" t="s">
        <v>366</v>
      </c>
      <c r="F9" s="9" t="s">
        <v>367</v>
      </c>
    </row>
    <row r="10" customFormat="false" ht="23.85" hidden="false" customHeight="false" outlineLevel="0" collapsed="false">
      <c r="A10" s="8" t="s">
        <v>368</v>
      </c>
      <c r="B10" s="9" t="s">
        <v>364</v>
      </c>
      <c r="C10" s="17" t="s">
        <v>20</v>
      </c>
      <c r="D10" s="9" t="s">
        <v>369</v>
      </c>
      <c r="E10" s="9" t="s">
        <v>370</v>
      </c>
      <c r="F10" s="9" t="s">
        <v>367</v>
      </c>
    </row>
    <row r="11" customFormat="false" ht="23.85" hidden="false" customHeight="false" outlineLevel="0" collapsed="false">
      <c r="A11" s="8" t="s">
        <v>371</v>
      </c>
      <c r="B11" s="9" t="s">
        <v>280</v>
      </c>
      <c r="C11" s="17" t="s">
        <v>20</v>
      </c>
      <c r="D11" s="9" t="s">
        <v>372</v>
      </c>
      <c r="E11" s="9" t="s">
        <v>373</v>
      </c>
      <c r="F11" s="9" t="s">
        <v>374</v>
      </c>
    </row>
    <row r="12" customFormat="false" ht="15" hidden="false" customHeight="false" outlineLevel="0" collapsed="false">
      <c r="A12" s="8" t="s">
        <v>375</v>
      </c>
      <c r="B12" s="9" t="s">
        <v>280</v>
      </c>
      <c r="C12" s="17" t="s">
        <v>20</v>
      </c>
      <c r="D12" s="9" t="s">
        <v>376</v>
      </c>
      <c r="E12" s="9" t="s">
        <v>377</v>
      </c>
      <c r="F12" s="9" t="s">
        <v>367</v>
      </c>
    </row>
    <row r="13" customFormat="false" ht="15" hidden="false" customHeight="false" outlineLevel="0" collapsed="false">
      <c r="A13" s="8" t="s">
        <v>378</v>
      </c>
      <c r="B13" s="9" t="s">
        <v>230</v>
      </c>
      <c r="C13" s="17" t="s">
        <v>20</v>
      </c>
      <c r="D13" s="9" t="s">
        <v>379</v>
      </c>
      <c r="E13" s="9" t="s">
        <v>380</v>
      </c>
      <c r="F13" s="9" t="s">
        <v>381</v>
      </c>
    </row>
    <row r="14" customFormat="false" ht="23.85" hidden="false" customHeight="false" outlineLevel="0" collapsed="false">
      <c r="A14" s="8" t="s">
        <v>382</v>
      </c>
      <c r="B14" s="9" t="s">
        <v>230</v>
      </c>
      <c r="C14" s="16" t="s">
        <v>18</v>
      </c>
      <c r="D14" s="9" t="s">
        <v>383</v>
      </c>
      <c r="E14" s="9" t="s">
        <v>384</v>
      </c>
      <c r="F14" s="9" t="s">
        <v>385</v>
      </c>
    </row>
    <row r="15" customFormat="false" ht="15" hidden="false" customHeight="false" outlineLevel="0" collapsed="false">
      <c r="A15" s="8" t="s">
        <v>386</v>
      </c>
      <c r="B15" s="9" t="s">
        <v>230</v>
      </c>
      <c r="C15" s="17" t="s">
        <v>20</v>
      </c>
      <c r="D15" s="9" t="s">
        <v>387</v>
      </c>
      <c r="E15" s="9" t="s">
        <v>388</v>
      </c>
      <c r="F15" s="9" t="s">
        <v>367</v>
      </c>
    </row>
    <row r="16" customFormat="false" ht="15" hidden="false" customHeight="false" outlineLevel="0" collapsed="false">
      <c r="A16" s="8" t="s">
        <v>389</v>
      </c>
      <c r="B16" s="9" t="s">
        <v>390</v>
      </c>
      <c r="C16" s="17" t="s">
        <v>20</v>
      </c>
      <c r="D16" s="9" t="s">
        <v>391</v>
      </c>
      <c r="E16" s="9" t="s">
        <v>392</v>
      </c>
      <c r="F16" s="9" t="s">
        <v>367</v>
      </c>
    </row>
    <row r="17" customFormat="false" ht="15" hidden="false" customHeight="false" outlineLevel="0" collapsed="false">
      <c r="A17" s="8" t="s">
        <v>393</v>
      </c>
      <c r="B17" s="9" t="s">
        <v>394</v>
      </c>
      <c r="C17" s="16" t="s">
        <v>18</v>
      </c>
      <c r="D17" s="9" t="s">
        <v>395</v>
      </c>
      <c r="E17" s="9" t="s">
        <v>396</v>
      </c>
      <c r="F17" s="9" t="s">
        <v>397</v>
      </c>
    </row>
    <row r="18" customFormat="false" ht="23.85" hidden="false" customHeight="false" outlineLevel="0" collapsed="false">
      <c r="A18" s="8" t="s">
        <v>398</v>
      </c>
      <c r="B18" s="9" t="s">
        <v>394</v>
      </c>
      <c r="C18" s="15" t="s">
        <v>16</v>
      </c>
      <c r="D18" s="9" t="s">
        <v>399</v>
      </c>
      <c r="E18" s="9" t="s">
        <v>396</v>
      </c>
      <c r="F18" s="15" t="s">
        <v>400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88"/>
    <col collapsed="false" customWidth="true" hidden="false" outlineLevel="0" max="3" min="3" style="0" width="12"/>
    <col collapsed="false" customWidth="true" hidden="false" outlineLevel="0" max="4" min="4" style="0" width="40"/>
    <col collapsed="false" customWidth="true" hidden="false" outlineLevel="0" max="5" min="5" style="0" width="12"/>
  </cols>
  <sheetData>
    <row r="1" customFormat="false" ht="19.7" hidden="false" customHeight="false" outlineLevel="0" collapsed="false">
      <c r="A1" s="1" t="s">
        <v>401</v>
      </c>
    </row>
    <row r="2" customFormat="false" ht="15" hidden="false" customHeight="false" outlineLevel="0" collapsed="false">
      <c r="A2" s="2" t="s">
        <v>402</v>
      </c>
    </row>
    <row r="4" customFormat="false" ht="15" hidden="false" customHeight="false" outlineLevel="0" collapsed="false">
      <c r="A4" s="7" t="s">
        <v>403</v>
      </c>
      <c r="B4" s="7" t="s">
        <v>404</v>
      </c>
      <c r="C4" s="7" t="s">
        <v>405</v>
      </c>
      <c r="D4" s="7" t="s">
        <v>406</v>
      </c>
      <c r="E4" s="7" t="s">
        <v>46</v>
      </c>
    </row>
    <row r="5" customFormat="false" ht="15" hidden="false" customHeight="false" outlineLevel="0" collapsed="false">
      <c r="A5" s="9" t="n">
        <v>1</v>
      </c>
      <c r="B5" s="9" t="s">
        <v>407</v>
      </c>
      <c r="C5" s="12"/>
      <c r="D5" s="13"/>
      <c r="E5" s="13"/>
    </row>
    <row r="6" customFormat="false" ht="15" hidden="false" customHeight="false" outlineLevel="0" collapsed="false">
      <c r="A6" s="9" t="n">
        <v>2</v>
      </c>
      <c r="B6" s="9" t="s">
        <v>408</v>
      </c>
      <c r="C6" s="12"/>
      <c r="D6" s="13"/>
      <c r="E6" s="13"/>
    </row>
    <row r="7" customFormat="false" ht="15" hidden="false" customHeight="false" outlineLevel="0" collapsed="false">
      <c r="A7" s="9" t="n">
        <v>3</v>
      </c>
      <c r="B7" s="9" t="s">
        <v>409</v>
      </c>
      <c r="C7" s="12"/>
      <c r="D7" s="13"/>
      <c r="E7" s="13"/>
    </row>
    <row r="8" customFormat="false" ht="23.85" hidden="false" customHeight="false" outlineLevel="0" collapsed="false">
      <c r="A8" s="9" t="n">
        <v>4</v>
      </c>
      <c r="B8" s="9" t="s">
        <v>410</v>
      </c>
      <c r="C8" s="12"/>
      <c r="D8" s="13"/>
      <c r="E8" s="13"/>
    </row>
    <row r="9" customFormat="false" ht="15" hidden="false" customHeight="false" outlineLevel="0" collapsed="false">
      <c r="A9" s="9" t="n">
        <v>5</v>
      </c>
      <c r="B9" s="9" t="s">
        <v>411</v>
      </c>
      <c r="C9" s="12"/>
      <c r="D9" s="13"/>
      <c r="E9" s="13"/>
    </row>
    <row r="10" customFormat="false" ht="15" hidden="false" customHeight="false" outlineLevel="0" collapsed="false">
      <c r="A10" s="9" t="n">
        <v>6</v>
      </c>
      <c r="B10" s="9" t="s">
        <v>412</v>
      </c>
      <c r="C10" s="12"/>
      <c r="D10" s="13"/>
      <c r="E10" s="13"/>
    </row>
    <row r="11" customFormat="false" ht="15" hidden="false" customHeight="false" outlineLevel="0" collapsed="false">
      <c r="A11" s="9" t="n">
        <v>7</v>
      </c>
      <c r="B11" s="9" t="s">
        <v>413</v>
      </c>
      <c r="C11" s="12"/>
      <c r="D11" s="13"/>
      <c r="E11" s="13"/>
    </row>
    <row r="12" customFormat="false" ht="15" hidden="false" customHeight="false" outlineLevel="0" collapsed="false">
      <c r="A12" s="9" t="n">
        <v>8</v>
      </c>
      <c r="B12" s="9" t="s">
        <v>414</v>
      </c>
      <c r="C12" s="12"/>
      <c r="D12" s="13"/>
      <c r="E12" s="13"/>
    </row>
    <row r="13" customFormat="false" ht="15" hidden="false" customHeight="false" outlineLevel="0" collapsed="false">
      <c r="A13" s="9" t="n">
        <v>9</v>
      </c>
      <c r="B13" s="9" t="s">
        <v>415</v>
      </c>
      <c r="C13" s="12"/>
      <c r="D13" s="13"/>
      <c r="E13" s="13"/>
    </row>
    <row r="14" customFormat="false" ht="15" hidden="false" customHeight="false" outlineLevel="0" collapsed="false">
      <c r="A14" s="9" t="n">
        <v>10</v>
      </c>
      <c r="B14" s="9" t="s">
        <v>416</v>
      </c>
      <c r="C14" s="12"/>
      <c r="D14" s="13"/>
      <c r="E14" s="13"/>
    </row>
    <row r="15" customFormat="false" ht="15" hidden="false" customHeight="false" outlineLevel="0" collapsed="false">
      <c r="A15" s="9" t="n">
        <v>11</v>
      </c>
      <c r="B15" s="9" t="s">
        <v>417</v>
      </c>
      <c r="C15" s="12"/>
      <c r="D15" s="13"/>
      <c r="E15" s="13"/>
    </row>
    <row r="16" customFormat="false" ht="15" hidden="false" customHeight="false" outlineLevel="0" collapsed="false">
      <c r="A16" s="9" t="n">
        <v>12</v>
      </c>
      <c r="B16" s="9" t="s">
        <v>418</v>
      </c>
      <c r="C16" s="12"/>
      <c r="D16" s="13"/>
      <c r="E16" s="13"/>
    </row>
    <row r="18" customFormat="false" ht="15" hidden="false" customHeight="false" outlineLevel="0" collapsed="false">
      <c r="B18" s="5" t="s">
        <v>419</v>
      </c>
      <c r="C18" s="5" t="n">
        <f aca="false">COUNTIF(C5:C16,"YES")</f>
        <v>0</v>
      </c>
    </row>
    <row r="19" customFormat="false" ht="15" hidden="false" customHeight="false" outlineLevel="0" collapsed="false">
      <c r="B19" s="5" t="s">
        <v>420</v>
      </c>
      <c r="C19" s="5" t="n">
        <f aca="false">COUNTIF(C5:C16,"NO")+COUNTBLANK(C5:C16)</f>
        <v>12</v>
      </c>
    </row>
    <row r="21" customFormat="false" ht="15" hidden="false" customHeight="false" outlineLevel="0" collapsed="false">
      <c r="B21" s="5" t="s">
        <v>421</v>
      </c>
    </row>
    <row r="22" customFormat="false" ht="15" hidden="false" customHeight="false" outlineLevel="0" collapsed="false">
      <c r="B22" s="3" t="s">
        <v>422</v>
      </c>
      <c r="C22" s="18"/>
    </row>
    <row r="23" customFormat="false" ht="15" hidden="false" customHeight="false" outlineLevel="0" collapsed="false">
      <c r="B23" s="3" t="s">
        <v>423</v>
      </c>
      <c r="C23" s="18"/>
    </row>
    <row r="24" customFormat="false" ht="15" hidden="false" customHeight="false" outlineLevel="0" collapsed="false">
      <c r="B24" s="3" t="s">
        <v>46</v>
      </c>
      <c r="C24" s="18"/>
    </row>
  </sheetData>
  <dataValidations count="1">
    <dataValidation allowBlank="true" errorStyle="stop" operator="between" showDropDown="false" showErrorMessage="false" showInputMessage="false" sqref="C5:C16" type="list">
      <formula1>"YES,NO,N/A"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2026-08-11T20:38:11Z</dcterms:created>
  <dc:creator>openpyxl</dc:creator>
  <dc:description/>
  <dc:language>en-US</dc:language>
  <cp:lastModifiedBy/>
  <dcterms:modified xsi:type="dcterms:W3CDTF">2026-08-11T20:38:11Z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